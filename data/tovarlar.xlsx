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5FE18CE-AAE9-4FB0-80C6-EA5CDCDDB540}" xr6:coauthVersionLast="47" xr6:coauthVersionMax="47" xr10:uidLastSave="{00000000-0000-0000-0000-000000000000}"/>
  <bookViews>
    <workbookView xWindow="-108" yWindow="-108" windowWidth="23256" windowHeight="12576" firstSheet="2" activeTab="2" xr2:uid="{DEBD5E05-A8B0-4D27-BC4E-4B7998C5D08F}"/>
  </bookViews>
  <sheets>
    <sheet name="Лист3" sheetId="3" state="hidden" r:id="rId1"/>
    <sheet name="Лист1" sheetId="4" state="hidden" r:id="rId2"/>
    <sheet name="Лист2" sheetId="2" r:id="rId3"/>
  </sheets>
  <definedNames>
    <definedName name="_xlnm.Print_Area" localSheetId="0">Лист3!$A$1:$R$140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3" l="1"/>
  <c r="I15" i="3"/>
  <c r="I120" i="3"/>
  <c r="J120" i="3" s="1"/>
  <c r="C122" i="3"/>
  <c r="D89" i="3"/>
  <c r="C82" i="3"/>
  <c r="D24" i="3"/>
  <c r="C15" i="3"/>
  <c r="J15" i="4"/>
  <c r="J14" i="4"/>
  <c r="J13" i="4"/>
  <c r="J12" i="4"/>
  <c r="J11" i="4"/>
  <c r="J10" i="4"/>
  <c r="J9" i="4"/>
  <c r="I8" i="4"/>
  <c r="J8" i="4" s="1"/>
  <c r="H7" i="4"/>
  <c r="J7" i="4" s="1"/>
  <c r="J6" i="4"/>
  <c r="H6" i="4"/>
  <c r="I5" i="4"/>
  <c r="H5" i="4"/>
  <c r="J5" i="4" s="1"/>
  <c r="J4" i="4"/>
  <c r="I4" i="4"/>
  <c r="H4" i="4"/>
  <c r="D18" i="4"/>
  <c r="D17" i="4"/>
  <c r="D15" i="4"/>
  <c r="D14" i="4"/>
  <c r="D13" i="4"/>
  <c r="D12" i="4"/>
  <c r="C11" i="4"/>
  <c r="D11" i="4" s="1"/>
  <c r="B10" i="4"/>
  <c r="D10" i="4" s="1"/>
  <c r="C9" i="4"/>
  <c r="B9" i="4"/>
  <c r="D9" i="4" s="1"/>
  <c r="C8" i="4"/>
  <c r="B8" i="4"/>
  <c r="D8" i="4" s="1"/>
  <c r="C7" i="4"/>
  <c r="B7" i="4"/>
  <c r="D7" i="4" s="1"/>
  <c r="B6" i="4"/>
  <c r="D6" i="4" s="1"/>
  <c r="B5" i="4"/>
  <c r="D5" i="4" s="1"/>
  <c r="D4" i="4"/>
  <c r="C4" i="4"/>
  <c r="B4" i="4"/>
  <c r="I118" i="3"/>
  <c r="J118" i="3" s="1"/>
  <c r="I115" i="3"/>
  <c r="I114" i="3"/>
  <c r="H117" i="3"/>
  <c r="J117" i="3" s="1"/>
  <c r="H116" i="3"/>
  <c r="J116" i="3" s="1"/>
  <c r="H115" i="3"/>
  <c r="H114" i="3"/>
  <c r="J126" i="3"/>
  <c r="J125" i="3"/>
  <c r="J124" i="3"/>
  <c r="J123" i="3"/>
  <c r="J122" i="3"/>
  <c r="J121" i="3"/>
  <c r="C121" i="3"/>
  <c r="D121" i="3" s="1"/>
  <c r="C119" i="3"/>
  <c r="C118" i="3"/>
  <c r="C117" i="3"/>
  <c r="C114" i="3"/>
  <c r="B120" i="3"/>
  <c r="D120" i="3" s="1"/>
  <c r="B119" i="3"/>
  <c r="B118" i="3"/>
  <c r="B117" i="3"/>
  <c r="B116" i="3"/>
  <c r="D116" i="3" s="1"/>
  <c r="B115" i="3"/>
  <c r="D115" i="3" s="1"/>
  <c r="B114" i="3"/>
  <c r="D128" i="3"/>
  <c r="D127" i="3"/>
  <c r="D125" i="3"/>
  <c r="D124" i="3"/>
  <c r="D123" i="3"/>
  <c r="D122" i="3"/>
  <c r="P107" i="3"/>
  <c r="J107" i="3"/>
  <c r="D107" i="3"/>
  <c r="P106" i="3"/>
  <c r="J106" i="3"/>
  <c r="D106" i="3"/>
  <c r="P105" i="3"/>
  <c r="J105" i="3"/>
  <c r="D105" i="3"/>
  <c r="P104" i="3"/>
  <c r="J104" i="3"/>
  <c r="D104" i="3"/>
  <c r="P103" i="3"/>
  <c r="J103" i="3"/>
  <c r="D103" i="3"/>
  <c r="P102" i="3"/>
  <c r="J102" i="3"/>
  <c r="D102" i="3"/>
  <c r="P101" i="3"/>
  <c r="J101" i="3"/>
  <c r="D101" i="3"/>
  <c r="O100" i="3"/>
  <c r="P100" i="3" s="1"/>
  <c r="I100" i="3"/>
  <c r="J100" i="3" s="1"/>
  <c r="C100" i="3"/>
  <c r="D100" i="3" s="1"/>
  <c r="N99" i="3"/>
  <c r="P99" i="3" s="1"/>
  <c r="H99" i="3"/>
  <c r="J99" i="3" s="1"/>
  <c r="B99" i="3"/>
  <c r="D99" i="3" s="1"/>
  <c r="N98" i="3"/>
  <c r="P98" i="3" s="1"/>
  <c r="H98" i="3"/>
  <c r="J98" i="3" s="1"/>
  <c r="B98" i="3"/>
  <c r="D98" i="3" s="1"/>
  <c r="O97" i="3"/>
  <c r="N97" i="3"/>
  <c r="H97" i="3"/>
  <c r="J97" i="3" s="1"/>
  <c r="C97" i="3"/>
  <c r="B97" i="3"/>
  <c r="O96" i="3"/>
  <c r="N96" i="3"/>
  <c r="I96" i="3"/>
  <c r="H96" i="3"/>
  <c r="C96" i="3"/>
  <c r="B96" i="3"/>
  <c r="N95" i="3"/>
  <c r="P95" i="3" s="1"/>
  <c r="I95" i="3"/>
  <c r="H95" i="3"/>
  <c r="B95" i="3"/>
  <c r="D95" i="3" s="1"/>
  <c r="P88" i="3"/>
  <c r="P86" i="3"/>
  <c r="P85" i="3"/>
  <c r="P84" i="3"/>
  <c r="P83" i="3"/>
  <c r="P82" i="3"/>
  <c r="O81" i="3"/>
  <c r="P81" i="3" s="1"/>
  <c r="N80" i="3"/>
  <c r="P80" i="3" s="1"/>
  <c r="O79" i="3"/>
  <c r="N79" i="3"/>
  <c r="N78" i="3"/>
  <c r="P78" i="3" s="1"/>
  <c r="N77" i="3"/>
  <c r="P77" i="3" s="1"/>
  <c r="O76" i="3"/>
  <c r="N76" i="3"/>
  <c r="N75" i="3"/>
  <c r="P75" i="3" s="1"/>
  <c r="O74" i="3"/>
  <c r="N74" i="3"/>
  <c r="D22" i="3"/>
  <c r="D23" i="3"/>
  <c r="J66" i="3"/>
  <c r="J67" i="3"/>
  <c r="D66" i="3"/>
  <c r="D67" i="3"/>
  <c r="D46" i="3"/>
  <c r="D45" i="3"/>
  <c r="J95" i="3" l="1"/>
  <c r="J115" i="3"/>
  <c r="D117" i="3"/>
  <c r="D119" i="3"/>
  <c r="J114" i="3"/>
  <c r="J127" i="3" s="1"/>
  <c r="D118" i="3"/>
  <c r="D114" i="3"/>
  <c r="P74" i="3"/>
  <c r="P97" i="3"/>
  <c r="J16" i="4"/>
  <c r="D19" i="4"/>
  <c r="J96" i="3"/>
  <c r="D97" i="3"/>
  <c r="P76" i="3"/>
  <c r="P96" i="3"/>
  <c r="D96" i="3"/>
  <c r="P79" i="3"/>
  <c r="J85" i="3"/>
  <c r="J84" i="3"/>
  <c r="D88" i="3"/>
  <c r="D87" i="3"/>
  <c r="P65" i="3"/>
  <c r="P64" i="3"/>
  <c r="J65" i="3"/>
  <c r="J64" i="3"/>
  <c r="D65" i="3"/>
  <c r="D64" i="3"/>
  <c r="P43" i="3"/>
  <c r="J43" i="3"/>
  <c r="D44" i="3"/>
  <c r="D43" i="3"/>
  <c r="P21" i="3"/>
  <c r="J21" i="3"/>
  <c r="D21" i="3"/>
  <c r="I76" i="3"/>
  <c r="I75" i="3"/>
  <c r="H77" i="3"/>
  <c r="J77" i="3" s="1"/>
  <c r="H76" i="3"/>
  <c r="H75" i="3"/>
  <c r="H74" i="3"/>
  <c r="J74" i="3" s="1"/>
  <c r="I78" i="3"/>
  <c r="J78" i="3" s="1"/>
  <c r="J83" i="3"/>
  <c r="J82" i="3"/>
  <c r="J81" i="3"/>
  <c r="J80" i="3"/>
  <c r="J79" i="3"/>
  <c r="B80" i="3"/>
  <c r="B79" i="3"/>
  <c r="B78" i="3"/>
  <c r="D78" i="3" s="1"/>
  <c r="B77" i="3"/>
  <c r="D77" i="3" s="1"/>
  <c r="B76" i="3"/>
  <c r="B75" i="3"/>
  <c r="B74" i="3"/>
  <c r="D74" i="3" s="1"/>
  <c r="C80" i="3"/>
  <c r="C79" i="3"/>
  <c r="C76" i="3"/>
  <c r="C75" i="3"/>
  <c r="D86" i="3"/>
  <c r="D85" i="3"/>
  <c r="D84" i="3"/>
  <c r="D83" i="3"/>
  <c r="D82" i="3"/>
  <c r="C81" i="3"/>
  <c r="D81" i="3" s="1"/>
  <c r="N55" i="3"/>
  <c r="P55" i="3" s="1"/>
  <c r="N56" i="3"/>
  <c r="P56" i="3" s="1"/>
  <c r="B56" i="3"/>
  <c r="N57" i="3"/>
  <c r="P57" i="3" s="1"/>
  <c r="N54" i="3"/>
  <c r="N53" i="3"/>
  <c r="O53" i="3"/>
  <c r="O58" i="3"/>
  <c r="P58" i="3" s="1"/>
  <c r="P63" i="3"/>
  <c r="P62" i="3"/>
  <c r="P61" i="3"/>
  <c r="P60" i="3"/>
  <c r="P59" i="3"/>
  <c r="O54" i="3"/>
  <c r="O36" i="3"/>
  <c r="P36" i="3" s="1"/>
  <c r="P41" i="3"/>
  <c r="P40" i="3"/>
  <c r="P39" i="3"/>
  <c r="P38" i="3"/>
  <c r="P37" i="3"/>
  <c r="O35" i="3"/>
  <c r="N35" i="3"/>
  <c r="N34" i="3"/>
  <c r="P34" i="3" s="1"/>
  <c r="O33" i="3"/>
  <c r="N33" i="3"/>
  <c r="N32" i="3"/>
  <c r="P32" i="3" s="1"/>
  <c r="O31" i="3"/>
  <c r="N31" i="3"/>
  <c r="N30" i="3"/>
  <c r="P30" i="3" s="1"/>
  <c r="O29" i="3"/>
  <c r="N29" i="3"/>
  <c r="I35" i="3"/>
  <c r="I33" i="3"/>
  <c r="I31" i="3"/>
  <c r="I29" i="3"/>
  <c r="H35" i="3"/>
  <c r="H34" i="3"/>
  <c r="J34" i="3" s="1"/>
  <c r="H33" i="3"/>
  <c r="H32" i="3"/>
  <c r="J32" i="3" s="1"/>
  <c r="J108" i="3" l="1"/>
  <c r="D108" i="3"/>
  <c r="P108" i="3"/>
  <c r="D129" i="3"/>
  <c r="P89" i="3"/>
  <c r="D75" i="3"/>
  <c r="J75" i="3"/>
  <c r="P29" i="3"/>
  <c r="P33" i="3"/>
  <c r="D76" i="3"/>
  <c r="D80" i="3"/>
  <c r="J76" i="3"/>
  <c r="P54" i="3"/>
  <c r="D79" i="3"/>
  <c r="P31" i="3"/>
  <c r="J35" i="3"/>
  <c r="P53" i="3"/>
  <c r="J33" i="3"/>
  <c r="P35" i="3"/>
  <c r="H30" i="3"/>
  <c r="J30" i="3" s="1"/>
  <c r="H31" i="3"/>
  <c r="J31" i="3" s="1"/>
  <c r="H29" i="3"/>
  <c r="J29" i="3" s="1"/>
  <c r="I36" i="3"/>
  <c r="J36" i="3" s="1"/>
  <c r="J41" i="3"/>
  <c r="J40" i="3"/>
  <c r="J39" i="3"/>
  <c r="J38" i="3"/>
  <c r="J37" i="3"/>
  <c r="O14" i="3"/>
  <c r="P14" i="3" s="1"/>
  <c r="P19" i="3"/>
  <c r="P18" i="3"/>
  <c r="P17" i="3"/>
  <c r="P16" i="3"/>
  <c r="P15" i="3"/>
  <c r="O13" i="3"/>
  <c r="N13" i="3"/>
  <c r="O12" i="3"/>
  <c r="N12" i="3"/>
  <c r="O11" i="3"/>
  <c r="N11" i="3"/>
  <c r="N10" i="3"/>
  <c r="P10" i="3" s="1"/>
  <c r="N9" i="3"/>
  <c r="P9" i="3" s="1"/>
  <c r="O8" i="3"/>
  <c r="N8" i="3"/>
  <c r="I14" i="3"/>
  <c r="J14" i="3" s="1"/>
  <c r="J19" i="3"/>
  <c r="J18" i="3"/>
  <c r="J17" i="3"/>
  <c r="J16" i="3"/>
  <c r="J15" i="3"/>
  <c r="I13" i="3"/>
  <c r="H13" i="3"/>
  <c r="I12" i="3"/>
  <c r="H12" i="3"/>
  <c r="I11" i="3"/>
  <c r="H11" i="3"/>
  <c r="H10" i="3"/>
  <c r="J10" i="3" s="1"/>
  <c r="H9" i="3"/>
  <c r="J9" i="3" s="1"/>
  <c r="I8" i="3"/>
  <c r="H8" i="3"/>
  <c r="I54" i="3"/>
  <c r="I53" i="3"/>
  <c r="H57" i="3"/>
  <c r="J57" i="3" s="1"/>
  <c r="H56" i="3"/>
  <c r="J56" i="3" s="1"/>
  <c r="H54" i="3"/>
  <c r="H55" i="3"/>
  <c r="J55" i="3" s="1"/>
  <c r="H53" i="3"/>
  <c r="I58" i="3"/>
  <c r="J58" i="3" s="1"/>
  <c r="J63" i="3"/>
  <c r="J62" i="3"/>
  <c r="J61" i="3"/>
  <c r="J60" i="3"/>
  <c r="J59" i="3"/>
  <c r="B57" i="3"/>
  <c r="D57" i="3" s="1"/>
  <c r="D56" i="3"/>
  <c r="B55" i="3"/>
  <c r="D55" i="3" s="1"/>
  <c r="B54" i="3"/>
  <c r="B53" i="3"/>
  <c r="C58" i="3"/>
  <c r="D58" i="3" s="1"/>
  <c r="C54" i="3"/>
  <c r="C53" i="3"/>
  <c r="D63" i="3"/>
  <c r="D62" i="3"/>
  <c r="D61" i="3"/>
  <c r="D60" i="3"/>
  <c r="D59" i="3"/>
  <c r="D37" i="3"/>
  <c r="C36" i="3"/>
  <c r="C33" i="3"/>
  <c r="C31" i="3"/>
  <c r="C29" i="3"/>
  <c r="B36" i="3"/>
  <c r="B35" i="3"/>
  <c r="D35" i="3" s="1"/>
  <c r="B34" i="3"/>
  <c r="D34" i="3" s="1"/>
  <c r="B33" i="3"/>
  <c r="B32" i="3"/>
  <c r="D32" i="3" s="1"/>
  <c r="B31" i="3"/>
  <c r="B30" i="3"/>
  <c r="D30" i="3" s="1"/>
  <c r="B29" i="3"/>
  <c r="D29" i="3" s="1"/>
  <c r="D38" i="3"/>
  <c r="D39" i="3"/>
  <c r="D40" i="3"/>
  <c r="D41" i="3"/>
  <c r="D42" i="3"/>
  <c r="C8" i="3"/>
  <c r="C11" i="3"/>
  <c r="C12" i="3"/>
  <c r="C13" i="3"/>
  <c r="D14" i="3"/>
  <c r="D15" i="3"/>
  <c r="D16" i="3"/>
  <c r="D17" i="3"/>
  <c r="D18" i="3"/>
  <c r="D19" i="3"/>
  <c r="B13" i="3"/>
  <c r="B12" i="3"/>
  <c r="B11" i="3"/>
  <c r="B10" i="3"/>
  <c r="D10" i="3" s="1"/>
  <c r="B9" i="3"/>
  <c r="D9" i="3" s="1"/>
  <c r="B8" i="3"/>
  <c r="J86" i="3" l="1"/>
  <c r="P44" i="3"/>
  <c r="P66" i="3"/>
  <c r="J44" i="3"/>
  <c r="J53" i="3"/>
  <c r="J8" i="3"/>
  <c r="P12" i="3"/>
  <c r="P8" i="3"/>
  <c r="P11" i="3"/>
  <c r="J11" i="3"/>
  <c r="P13" i="3"/>
  <c r="J12" i="3"/>
  <c r="J54" i="3"/>
  <c r="J13" i="3"/>
  <c r="D54" i="3"/>
  <c r="D53" i="3"/>
  <c r="D36" i="3"/>
  <c r="D13" i="3"/>
  <c r="D31" i="3"/>
  <c r="D33" i="3"/>
  <c r="D12" i="3"/>
  <c r="D11" i="3"/>
  <c r="D8" i="3"/>
  <c r="D68" i="3" l="1"/>
  <c r="J68" i="3"/>
  <c r="D47" i="3"/>
  <c r="P22" i="3"/>
  <c r="J22" i="3"/>
</calcChain>
</file>

<file path=xl/sharedStrings.xml><?xml version="1.0" encoding="utf-8"?>
<sst xmlns="http://schemas.openxmlformats.org/spreadsheetml/2006/main" count="422" uniqueCount="72">
  <si>
    <t>Sitrik Asid Kislota</t>
  </si>
  <si>
    <t>Qarshi mel</t>
  </si>
  <si>
    <t>EVRO gips (Sho'rsuv 01 shpatlovka uchun)</t>
  </si>
  <si>
    <t>HPMS YOUNGCELL</t>
  </si>
  <si>
    <t>Modifikator</t>
  </si>
  <si>
    <t>Qop Concrete 01</t>
  </si>
  <si>
    <t>Upakovka xizmati</t>
  </si>
  <si>
    <t>Nomi</t>
  </si>
  <si>
    <t>Kg</t>
  </si>
  <si>
    <t>Narxi (So'm)</t>
  </si>
  <si>
    <t>Summa</t>
  </si>
  <si>
    <t>Tannarx</t>
  </si>
  <si>
    <t>Concrete 01 Shpaklovka</t>
  </si>
  <si>
    <t>Sement (kafel kley uchun)</t>
  </si>
  <si>
    <t>Qum (Ishlab chiqarish uchun)</t>
  </si>
  <si>
    <t>Andijon Mayin Mell</t>
  </si>
  <si>
    <t>Andijon shakar mel</t>
  </si>
  <si>
    <t>Pushonka (Rodband uchun)</t>
  </si>
  <si>
    <t>Qop Concrete 22</t>
  </si>
  <si>
    <t>Arenda Shpaklovka</t>
  </si>
  <si>
    <t>Arenda Elektr</t>
  </si>
  <si>
    <t xml:space="preserve">Arenda Oqava Suv </t>
  </si>
  <si>
    <t>Kosonsoy Mell</t>
  </si>
  <si>
    <t>PERLIT</t>
  </si>
  <si>
    <t>Arenda Eskirish</t>
  </si>
  <si>
    <t>Manomer</t>
  </si>
  <si>
    <t xml:space="preserve">Concrete Rodband </t>
  </si>
  <si>
    <t xml:space="preserve">EVRO gips Rodband uchun </t>
  </si>
  <si>
    <t>Concrete 22</t>
  </si>
  <si>
    <t>Concrete 77</t>
  </si>
  <si>
    <t>Qop Dom  01</t>
  </si>
  <si>
    <t>Dom 01 Shpaklovka</t>
  </si>
  <si>
    <t>Qop Biora  01</t>
  </si>
  <si>
    <t>Biora 01 Shpaklovka</t>
  </si>
  <si>
    <t xml:space="preserve">Biora Rodband </t>
  </si>
  <si>
    <t>Qop Concrete 07</t>
  </si>
  <si>
    <t>Qop Biora Rod</t>
  </si>
  <si>
    <t xml:space="preserve">Dom 07 Rodband </t>
  </si>
  <si>
    <t>Qop Dom Rod</t>
  </si>
  <si>
    <t xml:space="preserve">Standart 07 Rodband </t>
  </si>
  <si>
    <t>Qop Standart Rod</t>
  </si>
  <si>
    <t>Yarim Biora</t>
  </si>
  <si>
    <t>Evromix  22</t>
  </si>
  <si>
    <t>Qop Evromix  22</t>
  </si>
  <si>
    <t>Evromix  21</t>
  </si>
  <si>
    <t>Qop Evromix  21</t>
  </si>
  <si>
    <t>Dom 22</t>
  </si>
  <si>
    <t>Qop Dom  22</t>
  </si>
  <si>
    <t>Dom   21</t>
  </si>
  <si>
    <t>Qop Dom  21</t>
  </si>
  <si>
    <t>Dom Nalivnoy</t>
  </si>
  <si>
    <t xml:space="preserve">Qop Dom nalivnoy </t>
  </si>
  <si>
    <t>Penogositel (Suxoy)</t>
  </si>
  <si>
    <t>Plastifikator</t>
  </si>
  <si>
    <t>Dom 03</t>
  </si>
  <si>
    <t>Qop Dom 03</t>
  </si>
  <si>
    <t>Sotuv Narxi</t>
  </si>
  <si>
    <t>Yul kiro</t>
  </si>
  <si>
    <t>Gruz</t>
  </si>
  <si>
    <t>10+1 bonus</t>
  </si>
  <si>
    <t xml:space="preserve">Yillik 2 000 lik bonus </t>
  </si>
  <si>
    <t>Biora 03</t>
  </si>
  <si>
    <t>Oq Sement (Oq Fasad uchun)</t>
  </si>
  <si>
    <t>Qop oq fasad</t>
  </si>
  <si>
    <t>Dom  Oq fasad</t>
  </si>
  <si>
    <t>Shaffof (Sement)</t>
  </si>
  <si>
    <t>Qop biora 03</t>
  </si>
  <si>
    <t>Standart 07</t>
  </si>
  <si>
    <t>Dom  21</t>
  </si>
  <si>
    <t>Товар</t>
  </si>
  <si>
    <t>Цена</t>
  </si>
  <si>
    <t>Concrete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</si>
</sst>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</cellStyleXfs>
  <cellXfs count="51">
    <xf numFmtId="0" fontId="0" fillId="0" borderId="0" xfId="0"/>
    <xf numFmtId="0" fontId="4" fillId="0" borderId="1" xfId="2" applyFont="1" applyBorder="1" applyAlignment="1">
      <alignment horizontal="left" vertical="center"/>
    </xf>
    <xf numFmtId="43" fontId="4" fillId="0" borderId="1" xfId="1" applyFont="1" applyBorder="1" applyAlignment="1">
      <alignment horizontal="right" vertical="center"/>
    </xf>
    <xf numFmtId="0" fontId="4" fillId="0" borderId="1" xfId="2" applyFont="1" applyBorder="1" applyAlignment="1">
      <alignment horizontal="center" vertical="center" wrapText="1"/>
    </xf>
    <xf numFmtId="3" fontId="0" fillId="0" borderId="0" xfId="0" applyNumberFormat="1"/>
    <xf numFmtId="43" fontId="0" fillId="0" borderId="0" xfId="1" applyFont="1"/>
    <xf numFmtId="0" fontId="4" fillId="0" borderId="1" xfId="3" applyFont="1" applyBorder="1" applyAlignment="1">
      <alignment horizontal="left" vertical="center" wrapText="1"/>
    </xf>
    <xf numFmtId="2" fontId="4" fillId="0" borderId="1" xfId="3" applyNumberFormat="1" applyFont="1" applyBorder="1" applyAlignment="1">
      <alignment horizontal="right" vertical="top"/>
    </xf>
    <xf numFmtId="4" fontId="4" fillId="0" borderId="1" xfId="3" applyNumberFormat="1" applyFont="1" applyBorder="1" applyAlignment="1">
      <alignment horizontal="right" vertical="top"/>
    </xf>
    <xf numFmtId="0" fontId="4" fillId="0" borderId="1" xfId="3" applyFont="1" applyBorder="1" applyAlignment="1">
      <alignment vertical="top" wrapText="1"/>
    </xf>
    <xf numFmtId="0" fontId="5" fillId="0" borderId="2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right" vertical="center"/>
    </xf>
    <xf numFmtId="164" fontId="2" fillId="0" borderId="0" xfId="1" applyNumberFormat="1" applyFont="1" applyBorder="1" applyAlignment="1">
      <alignment horizontal="center" vertical="center" wrapText="1"/>
    </xf>
    <xf numFmtId="164" fontId="2" fillId="0" borderId="0" xfId="1" applyNumberFormat="1" applyFont="1" applyBorder="1" applyAlignment="1">
      <alignment vertical="center" wrapText="1"/>
    </xf>
    <xf numFmtId="0" fontId="4" fillId="0" borderId="7" xfId="2" applyFont="1" applyBorder="1" applyAlignment="1">
      <alignment horizontal="left" vertical="center"/>
    </xf>
    <xf numFmtId="43" fontId="4" fillId="0" borderId="7" xfId="1" applyFont="1" applyFill="1" applyBorder="1" applyAlignment="1">
      <alignment horizontal="right" vertical="center"/>
    </xf>
    <xf numFmtId="0" fontId="3" fillId="0" borderId="1" xfId="3" applyBorder="1" applyAlignment="1">
      <alignment horizontal="center" vertical="top"/>
    </xf>
    <xf numFmtId="0" fontId="4" fillId="0" borderId="1" xfId="2" applyFont="1" applyBorder="1" applyAlignment="1">
      <alignment horizontal="center" vertical="center"/>
    </xf>
    <xf numFmtId="0" fontId="4" fillId="0" borderId="1" xfId="3" applyFont="1" applyBorder="1" applyAlignment="1">
      <alignment vertical="top"/>
    </xf>
    <xf numFmtId="164" fontId="2" fillId="0" borderId="1" xfId="1" applyNumberFormat="1" applyFont="1" applyBorder="1" applyAlignment="1">
      <alignment vertical="center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43" fontId="4" fillId="0" borderId="2" xfId="1" applyFont="1" applyBorder="1" applyAlignment="1">
      <alignment horizontal="right" vertical="center"/>
    </xf>
    <xf numFmtId="43" fontId="4" fillId="0" borderId="3" xfId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3" fontId="4" fillId="0" borderId="1" xfId="1" applyFont="1" applyBorder="1" applyAlignment="1">
      <alignment horizontal="right" vertical="center"/>
    </xf>
    <xf numFmtId="0" fontId="4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43" fontId="5" fillId="0" borderId="2" xfId="1" applyFont="1" applyBorder="1" applyAlignment="1">
      <alignment horizontal="center" vertical="center"/>
    </xf>
    <xf numFmtId="43" fontId="5" fillId="0" borderId="3" xfId="1" applyFon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</cellXfs>
  <cellStyles count="4">
    <cellStyle name="Обычный" xfId="0" builtinId="0"/>
    <cellStyle name="Обычный_Лист1" xfId="2" xr:uid="{2A4798B7-DCC8-4AC6-9177-F7EB7921459D}"/>
    <cellStyle name="Обычный_Лист3" xfId="3" xr:uid="{2955C683-8AC4-4DAA-88CE-549DE761B47D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2261-0472-4926-B820-A13D559915E7}">
  <dimension ref="A5:AI130"/>
  <sheetViews>
    <sheetView view="pageBreakPreview" topLeftCell="A55" zoomScale="55" zoomScaleNormal="85" zoomScaleSheetLayoutView="55" workbookViewId="0">
      <selection activeCell="G111" sqref="G111:K112"/>
    </sheetView>
  </sheetViews>
  <sheetFormatPr defaultRowHeight="14.4" x14ac:dyDescent="0.3"/>
  <cols>
    <col min="1" max="1" width="23.109375" customWidth="1"/>
    <col min="2" max="2" width="12.44140625" customWidth="1"/>
    <col min="3" max="3" width="11.6640625" customWidth="1"/>
    <col min="5" max="5" width="12.33203125" customWidth="1"/>
    <col min="7" max="7" width="23.33203125" customWidth="1"/>
    <col min="8" max="8" width="13.109375" customWidth="1"/>
    <col min="9" max="9" width="13.88671875" customWidth="1"/>
    <col min="10" max="10" width="11.88671875" bestFit="1" customWidth="1"/>
    <col min="13" max="13" width="23.33203125" customWidth="1"/>
    <col min="19" max="19" width="23.5546875" customWidth="1"/>
    <col min="20" max="20" width="11.6640625" customWidth="1"/>
    <col min="21" max="21" width="12.44140625" customWidth="1"/>
    <col min="25" max="25" width="23.88671875" customWidth="1"/>
    <col min="26" max="26" width="11" customWidth="1"/>
    <col min="27" max="27" width="11.44140625" customWidth="1"/>
    <col min="31" max="31" width="21.6640625" customWidth="1"/>
  </cols>
  <sheetData>
    <row r="5" spans="1:17" x14ac:dyDescent="0.3">
      <c r="A5" s="30" t="s">
        <v>12</v>
      </c>
      <c r="B5" s="30"/>
      <c r="C5" s="30"/>
      <c r="D5" s="30"/>
      <c r="E5" s="30"/>
      <c r="G5" s="30" t="s">
        <v>31</v>
      </c>
      <c r="H5" s="30"/>
      <c r="I5" s="30"/>
      <c r="J5" s="30"/>
      <c r="K5" s="30"/>
      <c r="M5" s="30" t="s">
        <v>33</v>
      </c>
      <c r="N5" s="30"/>
      <c r="O5" s="30"/>
      <c r="P5" s="30"/>
      <c r="Q5" s="30"/>
    </row>
    <row r="6" spans="1:17" x14ac:dyDescent="0.3">
      <c r="A6" s="30"/>
      <c r="B6" s="30"/>
      <c r="C6" s="30"/>
      <c r="D6" s="30"/>
      <c r="E6" s="30"/>
      <c r="G6" s="30"/>
      <c r="H6" s="30"/>
      <c r="I6" s="30"/>
      <c r="J6" s="30"/>
      <c r="K6" s="30"/>
      <c r="M6" s="30"/>
      <c r="N6" s="30"/>
      <c r="O6" s="30"/>
      <c r="P6" s="30"/>
      <c r="Q6" s="30"/>
    </row>
    <row r="7" spans="1:17" ht="20.399999999999999" x14ac:dyDescent="0.3">
      <c r="A7" s="3" t="s">
        <v>7</v>
      </c>
      <c r="B7" s="3" t="s">
        <v>8</v>
      </c>
      <c r="C7" s="3" t="s">
        <v>9</v>
      </c>
      <c r="D7" s="31" t="s">
        <v>10</v>
      </c>
      <c r="E7" s="32"/>
      <c r="G7" s="3" t="s">
        <v>7</v>
      </c>
      <c r="H7" s="3" t="s">
        <v>8</v>
      </c>
      <c r="I7" s="3" t="s">
        <v>9</v>
      </c>
      <c r="J7" s="31" t="s">
        <v>10</v>
      </c>
      <c r="K7" s="32"/>
      <c r="M7" s="3" t="s">
        <v>7</v>
      </c>
      <c r="N7" s="3" t="s">
        <v>8</v>
      </c>
      <c r="O7" s="3" t="s">
        <v>9</v>
      </c>
      <c r="P7" s="38" t="s">
        <v>10</v>
      </c>
      <c r="Q7" s="38"/>
    </row>
    <row r="8" spans="1:17" ht="21" customHeight="1" x14ac:dyDescent="0.3">
      <c r="A8" s="6" t="s">
        <v>0</v>
      </c>
      <c r="B8" s="7">
        <f>8/200</f>
        <v>0.04</v>
      </c>
      <c r="C8" s="7">
        <f>1.1*12000</f>
        <v>13200.000000000002</v>
      </c>
      <c r="D8" s="27">
        <f>B8*C8</f>
        <v>528.00000000000011</v>
      </c>
      <c r="E8" s="28"/>
      <c r="G8" s="6" t="s">
        <v>0</v>
      </c>
      <c r="H8" s="7">
        <f>8/200</f>
        <v>0.04</v>
      </c>
      <c r="I8" s="7">
        <f>1.1*12000</f>
        <v>13200.000000000002</v>
      </c>
      <c r="J8" s="27">
        <f>H8*I8</f>
        <v>528.00000000000011</v>
      </c>
      <c r="K8" s="28"/>
      <c r="M8" s="6" t="s">
        <v>0</v>
      </c>
      <c r="N8" s="7">
        <f>8/200</f>
        <v>0.04</v>
      </c>
      <c r="O8" s="7">
        <f>1.1*12000</f>
        <v>13200.000000000002</v>
      </c>
      <c r="P8" s="37">
        <f>N8*O8</f>
        <v>528.00000000000011</v>
      </c>
      <c r="Q8" s="37"/>
    </row>
    <row r="9" spans="1:17" ht="21" customHeight="1" x14ac:dyDescent="0.3">
      <c r="A9" s="6" t="s">
        <v>1</v>
      </c>
      <c r="B9" s="8">
        <f>2720/200</f>
        <v>13.6</v>
      </c>
      <c r="C9" s="7">
        <v>496.33</v>
      </c>
      <c r="D9" s="27">
        <f t="shared" ref="D9:D19" si="0">B9*C9</f>
        <v>6750.0879999999997</v>
      </c>
      <c r="E9" s="28"/>
      <c r="G9" s="6" t="s">
        <v>1</v>
      </c>
      <c r="H9" s="8">
        <f>2720/200</f>
        <v>13.6</v>
      </c>
      <c r="I9" s="7">
        <v>496.33</v>
      </c>
      <c r="J9" s="27">
        <f t="shared" ref="J9:J12" si="1">H9*I9</f>
        <v>6750.0879999999997</v>
      </c>
      <c r="K9" s="28"/>
      <c r="M9" s="6" t="s">
        <v>1</v>
      </c>
      <c r="N9" s="8">
        <f>2720/200</f>
        <v>13.6</v>
      </c>
      <c r="O9" s="7">
        <v>496.33</v>
      </c>
      <c r="P9" s="37">
        <f t="shared" ref="P9:P12" si="2">N9*O9</f>
        <v>6750.0879999999997</v>
      </c>
      <c r="Q9" s="37"/>
    </row>
    <row r="10" spans="1:17" ht="24.75" customHeight="1" x14ac:dyDescent="0.3">
      <c r="A10" s="6" t="s">
        <v>2</v>
      </c>
      <c r="B10" s="8">
        <f>1280/200</f>
        <v>6.4</v>
      </c>
      <c r="C10" s="7">
        <v>473.59</v>
      </c>
      <c r="D10" s="27">
        <f t="shared" si="0"/>
        <v>3030.9760000000001</v>
      </c>
      <c r="E10" s="28"/>
      <c r="G10" s="6" t="s">
        <v>2</v>
      </c>
      <c r="H10" s="8">
        <f>1280/200</f>
        <v>6.4</v>
      </c>
      <c r="I10" s="7">
        <v>473.59</v>
      </c>
      <c r="J10" s="27">
        <f t="shared" si="1"/>
        <v>3030.9760000000001</v>
      </c>
      <c r="K10" s="28"/>
      <c r="M10" s="6" t="s">
        <v>2</v>
      </c>
      <c r="N10" s="8">
        <f>1280/200</f>
        <v>6.4</v>
      </c>
      <c r="O10" s="7">
        <v>473.59</v>
      </c>
      <c r="P10" s="37">
        <f t="shared" si="2"/>
        <v>3030.9760000000001</v>
      </c>
      <c r="Q10" s="37"/>
    </row>
    <row r="11" spans="1:17" ht="21" customHeight="1" x14ac:dyDescent="0.3">
      <c r="A11" s="6" t="s">
        <v>3</v>
      </c>
      <c r="B11" s="7">
        <f>12/200</f>
        <v>0.06</v>
      </c>
      <c r="C11" s="7">
        <f>3*12000</f>
        <v>36000</v>
      </c>
      <c r="D11" s="27">
        <f t="shared" si="0"/>
        <v>2160</v>
      </c>
      <c r="E11" s="28"/>
      <c r="G11" s="6" t="s">
        <v>3</v>
      </c>
      <c r="H11" s="7">
        <f>12/200</f>
        <v>0.06</v>
      </c>
      <c r="I11" s="7">
        <f>3*12000</f>
        <v>36000</v>
      </c>
      <c r="J11" s="27">
        <f t="shared" si="1"/>
        <v>2160</v>
      </c>
      <c r="K11" s="28"/>
      <c r="M11" s="6" t="s">
        <v>3</v>
      </c>
      <c r="N11" s="7">
        <f>12/200</f>
        <v>0.06</v>
      </c>
      <c r="O11" s="7">
        <f>3*12000</f>
        <v>36000</v>
      </c>
      <c r="P11" s="37">
        <f t="shared" si="2"/>
        <v>2160</v>
      </c>
      <c r="Q11" s="37"/>
    </row>
    <row r="12" spans="1:17" ht="21" customHeight="1" x14ac:dyDescent="0.3">
      <c r="A12" s="6" t="s">
        <v>4</v>
      </c>
      <c r="B12" s="7">
        <f>8/200</f>
        <v>0.04</v>
      </c>
      <c r="C12" s="7">
        <f>1.5*12000</f>
        <v>18000</v>
      </c>
      <c r="D12" s="27">
        <f t="shared" si="0"/>
        <v>720</v>
      </c>
      <c r="E12" s="28"/>
      <c r="G12" s="6" t="s">
        <v>4</v>
      </c>
      <c r="H12" s="7">
        <f>8/200</f>
        <v>0.04</v>
      </c>
      <c r="I12" s="7">
        <f>1.5*12000</f>
        <v>18000</v>
      </c>
      <c r="J12" s="27">
        <f t="shared" si="1"/>
        <v>720</v>
      </c>
      <c r="K12" s="28"/>
      <c r="M12" s="6" t="s">
        <v>4</v>
      </c>
      <c r="N12" s="7">
        <f>8/200</f>
        <v>0.04</v>
      </c>
      <c r="O12" s="7">
        <f>1.5*12000</f>
        <v>18000</v>
      </c>
      <c r="P12" s="37">
        <f t="shared" si="2"/>
        <v>720</v>
      </c>
      <c r="Q12" s="37"/>
    </row>
    <row r="13" spans="1:17" ht="21" customHeight="1" x14ac:dyDescent="0.3">
      <c r="A13" s="6" t="s">
        <v>25</v>
      </c>
      <c r="B13" s="7">
        <f>8/200</f>
        <v>0.04</v>
      </c>
      <c r="C13" s="7">
        <f>4.5*12000</f>
        <v>54000</v>
      </c>
      <c r="D13" s="27">
        <f>B13*C13</f>
        <v>2160</v>
      </c>
      <c r="E13" s="28"/>
      <c r="G13" s="6" t="s">
        <v>25</v>
      </c>
      <c r="H13" s="7">
        <f>8/200</f>
        <v>0.04</v>
      </c>
      <c r="I13" s="7">
        <f>4.5*12000</f>
        <v>54000</v>
      </c>
      <c r="J13" s="27">
        <f>H13*I13</f>
        <v>2160</v>
      </c>
      <c r="K13" s="28"/>
      <c r="M13" s="6" t="s">
        <v>25</v>
      </c>
      <c r="N13" s="7">
        <f>8/200</f>
        <v>0.04</v>
      </c>
      <c r="O13" s="7">
        <f>4.5*12000</f>
        <v>54000</v>
      </c>
      <c r="P13" s="37">
        <f>N13*O13</f>
        <v>2160</v>
      </c>
      <c r="Q13" s="37"/>
    </row>
    <row r="14" spans="1:17" ht="21" customHeight="1" x14ac:dyDescent="0.3">
      <c r="A14" s="1" t="s">
        <v>5</v>
      </c>
      <c r="B14" s="2">
        <v>1</v>
      </c>
      <c r="C14" s="2">
        <v>4059</v>
      </c>
      <c r="D14" s="27">
        <f t="shared" si="0"/>
        <v>4059</v>
      </c>
      <c r="E14" s="28"/>
      <c r="G14" s="1" t="s">
        <v>30</v>
      </c>
      <c r="H14" s="2">
        <v>1</v>
      </c>
      <c r="I14" s="2">
        <f>0.12*12000</f>
        <v>1440</v>
      </c>
      <c r="J14" s="27">
        <f t="shared" ref="J14:J21" si="3">H14*I14</f>
        <v>1440</v>
      </c>
      <c r="K14" s="28"/>
      <c r="M14" s="1" t="s">
        <v>32</v>
      </c>
      <c r="N14" s="2">
        <v>1</v>
      </c>
      <c r="O14" s="2">
        <f>0.16*12000</f>
        <v>1920</v>
      </c>
      <c r="P14" s="37">
        <f t="shared" ref="P14:P21" si="4">N14*O14</f>
        <v>1920</v>
      </c>
      <c r="Q14" s="37"/>
    </row>
    <row r="15" spans="1:17" ht="21" customHeight="1" x14ac:dyDescent="0.3">
      <c r="A15" s="1" t="s">
        <v>6</v>
      </c>
      <c r="B15" s="2">
        <v>1</v>
      </c>
      <c r="C15" s="2">
        <f>20*36</f>
        <v>720</v>
      </c>
      <c r="D15" s="27">
        <f t="shared" si="0"/>
        <v>720</v>
      </c>
      <c r="E15" s="28"/>
      <c r="G15" s="1" t="s">
        <v>6</v>
      </c>
      <c r="H15" s="2">
        <v>1</v>
      </c>
      <c r="I15" s="2">
        <f>20*32</f>
        <v>640</v>
      </c>
      <c r="J15" s="27">
        <f t="shared" si="3"/>
        <v>640</v>
      </c>
      <c r="K15" s="28"/>
      <c r="M15" s="1" t="s">
        <v>6</v>
      </c>
      <c r="N15" s="2">
        <v>1</v>
      </c>
      <c r="O15" s="2">
        <f>20*32</f>
        <v>640</v>
      </c>
      <c r="P15" s="37">
        <f t="shared" si="4"/>
        <v>640</v>
      </c>
      <c r="Q15" s="37"/>
    </row>
    <row r="16" spans="1:17" ht="21" customHeight="1" x14ac:dyDescent="0.3">
      <c r="A16" s="1" t="s">
        <v>21</v>
      </c>
      <c r="B16" s="2">
        <v>1</v>
      </c>
      <c r="C16" s="2">
        <v>80</v>
      </c>
      <c r="D16" s="27">
        <f t="shared" si="0"/>
        <v>80</v>
      </c>
      <c r="E16" s="28"/>
      <c r="G16" s="1" t="s">
        <v>21</v>
      </c>
      <c r="H16" s="2">
        <v>1</v>
      </c>
      <c r="I16" s="2">
        <v>80</v>
      </c>
      <c r="J16" s="27">
        <f t="shared" si="3"/>
        <v>80</v>
      </c>
      <c r="K16" s="28"/>
      <c r="M16" s="1" t="s">
        <v>21</v>
      </c>
      <c r="N16" s="2">
        <v>1</v>
      </c>
      <c r="O16" s="2">
        <v>80</v>
      </c>
      <c r="P16" s="37">
        <f t="shared" si="4"/>
        <v>80</v>
      </c>
      <c r="Q16" s="37"/>
    </row>
    <row r="17" spans="1:23" ht="21" customHeight="1" x14ac:dyDescent="0.3">
      <c r="A17" s="1" t="s">
        <v>20</v>
      </c>
      <c r="B17" s="2">
        <v>1</v>
      </c>
      <c r="C17" s="2">
        <v>350</v>
      </c>
      <c r="D17" s="27">
        <f t="shared" si="0"/>
        <v>350</v>
      </c>
      <c r="E17" s="28"/>
      <c r="G17" s="1" t="s">
        <v>20</v>
      </c>
      <c r="H17" s="2">
        <v>1</v>
      </c>
      <c r="I17" s="2">
        <v>350</v>
      </c>
      <c r="J17" s="27">
        <f t="shared" si="3"/>
        <v>350</v>
      </c>
      <c r="K17" s="28"/>
      <c r="M17" s="1" t="s">
        <v>20</v>
      </c>
      <c r="N17" s="2">
        <v>1</v>
      </c>
      <c r="O17" s="2">
        <v>350</v>
      </c>
      <c r="P17" s="37">
        <f t="shared" si="4"/>
        <v>350</v>
      </c>
      <c r="Q17" s="37"/>
    </row>
    <row r="18" spans="1:23" ht="21" customHeight="1" x14ac:dyDescent="0.3">
      <c r="A18" s="1" t="s">
        <v>24</v>
      </c>
      <c r="B18" s="2">
        <v>1</v>
      </c>
      <c r="C18" s="2">
        <v>300</v>
      </c>
      <c r="D18" s="27">
        <f t="shared" si="0"/>
        <v>300</v>
      </c>
      <c r="E18" s="28"/>
      <c r="G18" s="1" t="s">
        <v>24</v>
      </c>
      <c r="H18" s="2">
        <v>1</v>
      </c>
      <c r="I18" s="2">
        <v>300</v>
      </c>
      <c r="J18" s="27">
        <f t="shared" si="3"/>
        <v>300</v>
      </c>
      <c r="K18" s="28"/>
      <c r="M18" s="1" t="s">
        <v>24</v>
      </c>
      <c r="N18" s="2">
        <v>1</v>
      </c>
      <c r="O18" s="2">
        <v>300</v>
      </c>
      <c r="P18" s="37">
        <f t="shared" si="4"/>
        <v>300</v>
      </c>
      <c r="Q18" s="37"/>
    </row>
    <row r="19" spans="1:23" ht="21" customHeight="1" x14ac:dyDescent="0.3">
      <c r="A19" s="1" t="s">
        <v>19</v>
      </c>
      <c r="B19" s="2">
        <v>1</v>
      </c>
      <c r="C19" s="2">
        <v>1000</v>
      </c>
      <c r="D19" s="27">
        <f t="shared" si="0"/>
        <v>1000</v>
      </c>
      <c r="E19" s="28"/>
      <c r="G19" s="1" t="s">
        <v>19</v>
      </c>
      <c r="H19" s="2">
        <v>1</v>
      </c>
      <c r="I19" s="2">
        <v>1000</v>
      </c>
      <c r="J19" s="27">
        <f t="shared" si="3"/>
        <v>1000</v>
      </c>
      <c r="K19" s="28"/>
      <c r="M19" s="1" t="s">
        <v>19</v>
      </c>
      <c r="N19" s="2">
        <v>1</v>
      </c>
      <c r="O19" s="2">
        <v>1000</v>
      </c>
      <c r="P19" s="37">
        <f t="shared" si="4"/>
        <v>1000</v>
      </c>
      <c r="Q19" s="37"/>
    </row>
    <row r="20" spans="1:23" ht="18.75" customHeight="1" x14ac:dyDescent="0.3">
      <c r="A20" s="1" t="s">
        <v>57</v>
      </c>
      <c r="B20" s="15">
        <v>1</v>
      </c>
      <c r="C20" s="15">
        <v>2300</v>
      </c>
      <c r="D20" s="37">
        <v>2300</v>
      </c>
      <c r="E20" s="37"/>
      <c r="G20" s="1" t="s">
        <v>57</v>
      </c>
      <c r="H20" s="15">
        <v>1</v>
      </c>
      <c r="I20" s="15">
        <v>2300</v>
      </c>
      <c r="J20" s="37">
        <v>2300</v>
      </c>
      <c r="K20" s="37"/>
      <c r="M20" s="1" t="s">
        <v>57</v>
      </c>
      <c r="N20" s="15">
        <v>1</v>
      </c>
      <c r="O20" s="15">
        <v>2500</v>
      </c>
      <c r="P20" s="37">
        <v>2300</v>
      </c>
      <c r="Q20" s="37"/>
    </row>
    <row r="21" spans="1:23" x14ac:dyDescent="0.3">
      <c r="A21" s="1" t="s">
        <v>58</v>
      </c>
      <c r="B21" s="15">
        <v>1</v>
      </c>
      <c r="C21" s="15">
        <v>400</v>
      </c>
      <c r="D21" s="37">
        <f t="shared" ref="D21" si="5">B21*C21</f>
        <v>400</v>
      </c>
      <c r="E21" s="37"/>
      <c r="G21" s="1" t="s">
        <v>58</v>
      </c>
      <c r="H21" s="15">
        <v>1</v>
      </c>
      <c r="I21" s="15">
        <v>400</v>
      </c>
      <c r="J21" s="37">
        <f t="shared" si="3"/>
        <v>400</v>
      </c>
      <c r="K21" s="37"/>
      <c r="M21" s="1" t="s">
        <v>58</v>
      </c>
      <c r="N21" s="15">
        <v>1</v>
      </c>
      <c r="O21" s="15">
        <v>400</v>
      </c>
      <c r="P21" s="37">
        <f t="shared" si="4"/>
        <v>400</v>
      </c>
      <c r="Q21" s="37"/>
    </row>
    <row r="22" spans="1:23" x14ac:dyDescent="0.3">
      <c r="A22" s="18" t="s">
        <v>59</v>
      </c>
      <c r="B22" s="19">
        <v>1</v>
      </c>
      <c r="C22" s="19">
        <v>3136</v>
      </c>
      <c r="D22" s="37">
        <f t="shared" ref="D22:D23" si="6">B22*C22</f>
        <v>3136</v>
      </c>
      <c r="E22" s="37"/>
      <c r="G22" s="39" t="s">
        <v>11</v>
      </c>
      <c r="H22" s="40"/>
      <c r="I22" s="41"/>
      <c r="J22" s="35">
        <f>SUM(J8:K21)</f>
        <v>21859.063999999998</v>
      </c>
      <c r="K22" s="35"/>
      <c r="M22" s="36" t="s">
        <v>11</v>
      </c>
      <c r="N22" s="36"/>
      <c r="O22" s="36"/>
      <c r="P22" s="35">
        <f>SUM(P8:Q21)</f>
        <v>22339.063999999998</v>
      </c>
      <c r="Q22" s="35"/>
    </row>
    <row r="23" spans="1:23" x14ac:dyDescent="0.3">
      <c r="A23" s="18" t="s">
        <v>60</v>
      </c>
      <c r="B23" s="19">
        <v>1</v>
      </c>
      <c r="C23" s="19">
        <v>2000</v>
      </c>
      <c r="D23" s="37">
        <f t="shared" si="6"/>
        <v>2000</v>
      </c>
      <c r="E23" s="37"/>
      <c r="G23" s="14" t="s">
        <v>56</v>
      </c>
      <c r="H23" s="14"/>
      <c r="I23" s="14"/>
      <c r="J23" s="14"/>
      <c r="K23" s="13">
        <v>34500</v>
      </c>
      <c r="M23" s="14" t="s">
        <v>56</v>
      </c>
      <c r="N23" s="14"/>
      <c r="O23" s="14"/>
      <c r="P23" s="14"/>
      <c r="Q23" s="13">
        <v>34500</v>
      </c>
    </row>
    <row r="24" spans="1:23" x14ac:dyDescent="0.3">
      <c r="A24" s="36" t="s">
        <v>11</v>
      </c>
      <c r="B24" s="36"/>
      <c r="C24" s="36"/>
      <c r="D24" s="35">
        <f>SUM(D8:E23)</f>
        <v>29694.063999999998</v>
      </c>
      <c r="E24" s="35"/>
    </row>
    <row r="25" spans="1:23" ht="15" customHeight="1" x14ac:dyDescent="0.3">
      <c r="A25" s="14" t="s">
        <v>56</v>
      </c>
      <c r="B25" s="14"/>
      <c r="C25" s="14"/>
      <c r="D25" s="14"/>
      <c r="E25" s="13">
        <v>34500</v>
      </c>
    </row>
    <row r="26" spans="1:23" x14ac:dyDescent="0.3">
      <c r="A26" s="30" t="s">
        <v>26</v>
      </c>
      <c r="B26" s="30"/>
      <c r="C26" s="30"/>
      <c r="D26" s="30"/>
      <c r="E26" s="30"/>
      <c r="G26" s="30" t="s">
        <v>34</v>
      </c>
      <c r="H26" s="30"/>
      <c r="I26" s="30"/>
      <c r="J26" s="30"/>
      <c r="K26" s="30"/>
      <c r="M26" s="30" t="s">
        <v>37</v>
      </c>
      <c r="N26" s="30"/>
      <c r="O26" s="30"/>
      <c r="P26" s="30"/>
      <c r="Q26" s="30"/>
      <c r="S26" s="30"/>
      <c r="T26" s="30"/>
      <c r="U26" s="30"/>
      <c r="V26" s="30"/>
      <c r="W26" s="30"/>
    </row>
    <row r="27" spans="1:23" x14ac:dyDescent="0.3">
      <c r="A27" s="30"/>
      <c r="B27" s="30"/>
      <c r="C27" s="30"/>
      <c r="D27" s="30"/>
      <c r="E27" s="30"/>
      <c r="G27" s="30"/>
      <c r="H27" s="30"/>
      <c r="I27" s="30"/>
      <c r="J27" s="30"/>
      <c r="K27" s="30"/>
      <c r="M27" s="30"/>
      <c r="N27" s="30"/>
      <c r="O27" s="30"/>
      <c r="P27" s="30"/>
      <c r="Q27" s="30"/>
      <c r="S27" s="30"/>
      <c r="T27" s="30"/>
      <c r="U27" s="30"/>
      <c r="V27" s="30"/>
      <c r="W27" s="30"/>
    </row>
    <row r="28" spans="1:23" ht="20.399999999999999" x14ac:dyDescent="0.3">
      <c r="A28" s="3" t="s">
        <v>7</v>
      </c>
      <c r="B28" s="3" t="s">
        <v>8</v>
      </c>
      <c r="C28" s="3" t="s">
        <v>9</v>
      </c>
      <c r="D28" s="31" t="s">
        <v>10</v>
      </c>
      <c r="E28" s="32"/>
      <c r="G28" s="3" t="s">
        <v>7</v>
      </c>
      <c r="H28" s="3" t="s">
        <v>8</v>
      </c>
      <c r="I28" s="3" t="s">
        <v>9</v>
      </c>
      <c r="J28" s="31" t="s">
        <v>10</v>
      </c>
      <c r="K28" s="32"/>
      <c r="M28" s="3" t="s">
        <v>7</v>
      </c>
      <c r="N28" s="3" t="s">
        <v>8</v>
      </c>
      <c r="O28" s="3" t="s">
        <v>9</v>
      </c>
      <c r="P28" s="31" t="s">
        <v>10</v>
      </c>
      <c r="Q28" s="32"/>
      <c r="S28" s="3"/>
      <c r="T28" s="3"/>
      <c r="U28" s="3"/>
      <c r="V28" s="38"/>
      <c r="W28" s="38"/>
    </row>
    <row r="29" spans="1:23" x14ac:dyDescent="0.3">
      <c r="A29" s="9" t="s">
        <v>0</v>
      </c>
      <c r="B29" s="7">
        <f>16/321</f>
        <v>4.9844236760124609E-2</v>
      </c>
      <c r="C29" s="7">
        <f>1.1*12000</f>
        <v>13200.000000000002</v>
      </c>
      <c r="D29" s="33">
        <f>B29*C29</f>
        <v>657.9439252336449</v>
      </c>
      <c r="E29" s="34"/>
      <c r="G29" s="9" t="s">
        <v>0</v>
      </c>
      <c r="H29" s="7">
        <f>12.9/516</f>
        <v>2.5000000000000001E-2</v>
      </c>
      <c r="I29" s="7">
        <f>1.1*12000</f>
        <v>13200.000000000002</v>
      </c>
      <c r="J29" s="33">
        <f>H29*I29</f>
        <v>330.00000000000006</v>
      </c>
      <c r="K29" s="34"/>
      <c r="M29" s="9" t="s">
        <v>0</v>
      </c>
      <c r="N29" s="7">
        <f>12.9/516</f>
        <v>2.5000000000000001E-2</v>
      </c>
      <c r="O29" s="7">
        <f>1.1*12000</f>
        <v>13200.000000000002</v>
      </c>
      <c r="P29" s="33">
        <f>N29*O29</f>
        <v>330.00000000000006</v>
      </c>
      <c r="Q29" s="34"/>
      <c r="S29" s="9"/>
      <c r="T29" s="7"/>
      <c r="U29" s="7"/>
      <c r="V29" s="42"/>
      <c r="W29" s="42"/>
    </row>
    <row r="30" spans="1:23" x14ac:dyDescent="0.3">
      <c r="A30" s="9" t="s">
        <v>23</v>
      </c>
      <c r="B30" s="7">
        <f>12.8/321</f>
        <v>3.987538940809969E-2</v>
      </c>
      <c r="C30" s="8">
        <v>15882.52</v>
      </c>
      <c r="D30" s="27">
        <f t="shared" ref="D30:D36" si="7">B30*C30</f>
        <v>633.32166978193152</v>
      </c>
      <c r="E30" s="28"/>
      <c r="G30" s="9" t="s">
        <v>16</v>
      </c>
      <c r="H30" s="8">
        <f>10010.1/516</f>
        <v>19.399418604651164</v>
      </c>
      <c r="I30" s="7">
        <v>285</v>
      </c>
      <c r="J30" s="33">
        <f t="shared" ref="J30:J35" si="8">H30*I30</f>
        <v>5528.834302325582</v>
      </c>
      <c r="K30" s="34"/>
      <c r="M30" s="9" t="s">
        <v>16</v>
      </c>
      <c r="N30" s="8">
        <f>10010.1/516</f>
        <v>19.399418604651164</v>
      </c>
      <c r="O30" s="7">
        <v>285</v>
      </c>
      <c r="P30" s="33">
        <f t="shared" ref="P30:P43" si="9">N30*O30</f>
        <v>5528.834302325582</v>
      </c>
      <c r="Q30" s="34"/>
      <c r="S30" s="9"/>
      <c r="T30" s="8"/>
      <c r="U30" s="7"/>
      <c r="V30" s="42"/>
      <c r="W30" s="42"/>
    </row>
    <row r="31" spans="1:23" x14ac:dyDescent="0.3">
      <c r="A31" s="9" t="s">
        <v>3</v>
      </c>
      <c r="B31" s="7">
        <f>14.4/321</f>
        <v>4.4859813084112153E-2</v>
      </c>
      <c r="C31" s="7">
        <f>3*12000</f>
        <v>36000</v>
      </c>
      <c r="D31" s="27">
        <f t="shared" si="7"/>
        <v>1614.9532710280375</v>
      </c>
      <c r="E31" s="28"/>
      <c r="G31" s="9" t="s">
        <v>3</v>
      </c>
      <c r="H31" s="7">
        <f>12.9/516</f>
        <v>2.5000000000000001E-2</v>
      </c>
      <c r="I31" s="7">
        <f>3*12000</f>
        <v>36000</v>
      </c>
      <c r="J31" s="33">
        <f t="shared" si="8"/>
        <v>900</v>
      </c>
      <c r="K31" s="34"/>
      <c r="M31" s="9" t="s">
        <v>3</v>
      </c>
      <c r="N31" s="7">
        <f>12.9/516</f>
        <v>2.5000000000000001E-2</v>
      </c>
      <c r="O31" s="7">
        <f>3*12000</f>
        <v>36000</v>
      </c>
      <c r="P31" s="33">
        <f t="shared" si="9"/>
        <v>900</v>
      </c>
      <c r="Q31" s="34"/>
      <c r="S31" s="9"/>
      <c r="T31" s="7"/>
      <c r="U31" s="7"/>
      <c r="V31" s="42"/>
      <c r="W31" s="42"/>
    </row>
    <row r="32" spans="1:23" x14ac:dyDescent="0.3">
      <c r="A32" s="9" t="s">
        <v>17</v>
      </c>
      <c r="B32" s="7">
        <f>160/321</f>
        <v>0.49844236760124611</v>
      </c>
      <c r="C32" s="8">
        <v>1898.59</v>
      </c>
      <c r="D32" s="27">
        <f t="shared" si="7"/>
        <v>946.3376947040498</v>
      </c>
      <c r="E32" s="28"/>
      <c r="G32" s="9" t="s">
        <v>17</v>
      </c>
      <c r="H32" s="7">
        <f>258/516</f>
        <v>0.5</v>
      </c>
      <c r="I32" s="8">
        <v>1889.02</v>
      </c>
      <c r="J32" s="33">
        <f t="shared" si="8"/>
        <v>944.51</v>
      </c>
      <c r="K32" s="34"/>
      <c r="M32" s="9" t="s">
        <v>17</v>
      </c>
      <c r="N32" s="7">
        <f>258/516</f>
        <v>0.5</v>
      </c>
      <c r="O32" s="8">
        <v>1889.02</v>
      </c>
      <c r="P32" s="33">
        <f t="shared" si="9"/>
        <v>944.51</v>
      </c>
      <c r="Q32" s="34"/>
      <c r="S32" s="9"/>
      <c r="T32" s="7"/>
      <c r="U32" s="7"/>
      <c r="V32" s="42"/>
      <c r="W32" s="42"/>
    </row>
    <row r="33" spans="1:23" x14ac:dyDescent="0.3">
      <c r="A33" s="9" t="s">
        <v>4</v>
      </c>
      <c r="B33" s="7">
        <f>16.5/321</f>
        <v>5.1401869158878503E-2</v>
      </c>
      <c r="C33" s="7">
        <f>1.5*12000</f>
        <v>18000</v>
      </c>
      <c r="D33" s="27">
        <f t="shared" si="7"/>
        <v>925.23364485981301</v>
      </c>
      <c r="E33" s="28"/>
      <c r="G33" s="9" t="s">
        <v>4</v>
      </c>
      <c r="H33" s="7">
        <f>12.9/516</f>
        <v>2.5000000000000001E-2</v>
      </c>
      <c r="I33" s="7">
        <f>1.51*12000</f>
        <v>18120</v>
      </c>
      <c r="J33" s="33">
        <f t="shared" si="8"/>
        <v>453</v>
      </c>
      <c r="K33" s="34"/>
      <c r="M33" s="9" t="s">
        <v>4</v>
      </c>
      <c r="N33" s="7">
        <f>12.9/516</f>
        <v>2.5000000000000001E-2</v>
      </c>
      <c r="O33" s="7">
        <f>1.51*12000</f>
        <v>18120</v>
      </c>
      <c r="P33" s="33">
        <f t="shared" si="9"/>
        <v>453</v>
      </c>
      <c r="Q33" s="34"/>
      <c r="S33" s="9"/>
      <c r="T33" s="7"/>
      <c r="U33" s="8"/>
      <c r="V33" s="42"/>
      <c r="W33" s="42"/>
    </row>
    <row r="34" spans="1:23" x14ac:dyDescent="0.3">
      <c r="A34" s="9" t="s">
        <v>22</v>
      </c>
      <c r="B34" s="8">
        <f>5568/321</f>
        <v>17.345794392523363</v>
      </c>
      <c r="C34" s="7">
        <v>343.91</v>
      </c>
      <c r="D34" s="27">
        <f t="shared" si="7"/>
        <v>5965.3921495327104</v>
      </c>
      <c r="E34" s="28"/>
      <c r="G34" s="9" t="s">
        <v>27</v>
      </c>
      <c r="H34" s="8">
        <f>2580.3/516</f>
        <v>5.0005813953488376</v>
      </c>
      <c r="I34" s="7">
        <v>408.81</v>
      </c>
      <c r="J34" s="33">
        <f t="shared" si="8"/>
        <v>2044.2876802325584</v>
      </c>
      <c r="K34" s="34"/>
      <c r="M34" s="9" t="s">
        <v>27</v>
      </c>
      <c r="N34" s="8">
        <f>2580.3/516</f>
        <v>5.0005813953488376</v>
      </c>
      <c r="O34" s="7">
        <v>408.81</v>
      </c>
      <c r="P34" s="33">
        <f t="shared" si="9"/>
        <v>2044.2876802325584</v>
      </c>
      <c r="Q34" s="34"/>
      <c r="S34" s="9"/>
      <c r="T34" s="7"/>
      <c r="U34" s="7"/>
      <c r="V34" s="42"/>
      <c r="W34" s="42"/>
    </row>
    <row r="35" spans="1:23" x14ac:dyDescent="0.3">
      <c r="A35" s="9" t="s">
        <v>27</v>
      </c>
      <c r="B35" s="8">
        <f>2400/321</f>
        <v>7.4766355140186915</v>
      </c>
      <c r="C35" s="7">
        <v>412.81</v>
      </c>
      <c r="D35" s="27">
        <f t="shared" si="7"/>
        <v>3086.429906542056</v>
      </c>
      <c r="E35" s="28"/>
      <c r="G35" s="9" t="s">
        <v>25</v>
      </c>
      <c r="H35" s="7">
        <f>12.9/516</f>
        <v>2.5000000000000001E-2</v>
      </c>
      <c r="I35" s="7">
        <f>4.5*12000</f>
        <v>54000</v>
      </c>
      <c r="J35" s="33">
        <f t="shared" si="8"/>
        <v>1350</v>
      </c>
      <c r="K35" s="34"/>
      <c r="M35" s="9" t="s">
        <v>25</v>
      </c>
      <c r="N35" s="7">
        <f>12.9/516</f>
        <v>2.5000000000000001E-2</v>
      </c>
      <c r="O35" s="7">
        <f>4.5*12000</f>
        <v>54000</v>
      </c>
      <c r="P35" s="33">
        <f t="shared" si="9"/>
        <v>1350</v>
      </c>
      <c r="Q35" s="34"/>
      <c r="S35" s="9"/>
      <c r="T35" s="8"/>
      <c r="U35" s="7"/>
      <c r="V35" s="42"/>
      <c r="W35" s="42"/>
    </row>
    <row r="36" spans="1:23" x14ac:dyDescent="0.3">
      <c r="A36" s="9" t="s">
        <v>25</v>
      </c>
      <c r="B36" s="7">
        <f>8/321</f>
        <v>2.4922118380062305E-2</v>
      </c>
      <c r="C36" s="7">
        <f>4.5*12000</f>
        <v>54000</v>
      </c>
      <c r="D36" s="27">
        <f t="shared" si="7"/>
        <v>1345.7943925233644</v>
      </c>
      <c r="E36" s="28"/>
      <c r="G36" s="1" t="s">
        <v>36</v>
      </c>
      <c r="H36" s="2">
        <v>1</v>
      </c>
      <c r="I36" s="8">
        <f>0.16*12000</f>
        <v>1920</v>
      </c>
      <c r="J36" s="33">
        <f t="shared" ref="J36:J43" si="10">H36*I36</f>
        <v>1920</v>
      </c>
      <c r="K36" s="34"/>
      <c r="M36" s="1" t="s">
        <v>38</v>
      </c>
      <c r="N36" s="2">
        <v>1</v>
      </c>
      <c r="O36" s="8">
        <f>0.16*12000</f>
        <v>1920</v>
      </c>
      <c r="P36" s="33">
        <f t="shared" si="9"/>
        <v>1920</v>
      </c>
      <c r="Q36" s="34"/>
      <c r="S36" s="1"/>
      <c r="T36" s="2"/>
      <c r="U36" s="8"/>
      <c r="V36" s="42"/>
      <c r="W36" s="42"/>
    </row>
    <row r="37" spans="1:23" x14ac:dyDescent="0.3">
      <c r="A37" s="1" t="s">
        <v>35</v>
      </c>
      <c r="B37" s="2">
        <v>1</v>
      </c>
      <c r="C37" s="8">
        <v>4238.37</v>
      </c>
      <c r="D37" s="27">
        <f t="shared" ref="D37:D44" si="11">B37*C37</f>
        <v>4238.37</v>
      </c>
      <c r="E37" s="28"/>
      <c r="G37" s="1" t="s">
        <v>6</v>
      </c>
      <c r="H37" s="2">
        <v>1</v>
      </c>
      <c r="I37" s="2">
        <v>800</v>
      </c>
      <c r="J37" s="33">
        <f t="shared" si="10"/>
        <v>800</v>
      </c>
      <c r="K37" s="34"/>
      <c r="M37" s="1" t="s">
        <v>6</v>
      </c>
      <c r="N37" s="2">
        <v>1</v>
      </c>
      <c r="O37" s="2">
        <v>800</v>
      </c>
      <c r="P37" s="33">
        <f t="shared" si="9"/>
        <v>800</v>
      </c>
      <c r="Q37" s="34"/>
      <c r="S37" s="1"/>
      <c r="T37" s="2"/>
      <c r="U37" s="2"/>
      <c r="V37" s="42"/>
      <c r="W37" s="42"/>
    </row>
    <row r="38" spans="1:23" x14ac:dyDescent="0.3">
      <c r="A38" s="1" t="s">
        <v>6</v>
      </c>
      <c r="B38" s="2">
        <v>1</v>
      </c>
      <c r="C38" s="2">
        <v>900</v>
      </c>
      <c r="D38" s="27">
        <f t="shared" si="11"/>
        <v>900</v>
      </c>
      <c r="E38" s="28"/>
      <c r="G38" s="1" t="s">
        <v>21</v>
      </c>
      <c r="H38" s="2">
        <v>1</v>
      </c>
      <c r="I38" s="2">
        <v>80</v>
      </c>
      <c r="J38" s="33">
        <f t="shared" si="10"/>
        <v>80</v>
      </c>
      <c r="K38" s="34"/>
      <c r="M38" s="1" t="s">
        <v>21</v>
      </c>
      <c r="N38" s="2">
        <v>1</v>
      </c>
      <c r="O38" s="2">
        <v>80</v>
      </c>
      <c r="P38" s="33">
        <f t="shared" si="9"/>
        <v>80</v>
      </c>
      <c r="Q38" s="34"/>
      <c r="S38" s="1"/>
      <c r="T38" s="2"/>
      <c r="U38" s="2"/>
      <c r="V38" s="42"/>
      <c r="W38" s="42"/>
    </row>
    <row r="39" spans="1:23" x14ac:dyDescent="0.3">
      <c r="A39" s="1" t="s">
        <v>21</v>
      </c>
      <c r="B39" s="2">
        <v>1</v>
      </c>
      <c r="C39" s="2">
        <v>80</v>
      </c>
      <c r="D39" s="27">
        <f t="shared" si="11"/>
        <v>80</v>
      </c>
      <c r="E39" s="28"/>
      <c r="G39" s="1" t="s">
        <v>20</v>
      </c>
      <c r="H39" s="2">
        <v>1</v>
      </c>
      <c r="I39" s="2">
        <v>350</v>
      </c>
      <c r="J39" s="33">
        <f t="shared" si="10"/>
        <v>350</v>
      </c>
      <c r="K39" s="34"/>
      <c r="M39" s="1" t="s">
        <v>20</v>
      </c>
      <c r="N39" s="2">
        <v>1</v>
      </c>
      <c r="O39" s="2">
        <v>350</v>
      </c>
      <c r="P39" s="33">
        <f t="shared" si="9"/>
        <v>350</v>
      </c>
      <c r="Q39" s="34"/>
      <c r="S39" s="1"/>
      <c r="T39" s="2"/>
      <c r="U39" s="2"/>
      <c r="V39" s="42"/>
      <c r="W39" s="42"/>
    </row>
    <row r="40" spans="1:23" x14ac:dyDescent="0.3">
      <c r="A40" s="1" t="s">
        <v>20</v>
      </c>
      <c r="B40" s="2">
        <v>1</v>
      </c>
      <c r="C40" s="2">
        <v>350</v>
      </c>
      <c r="D40" s="27">
        <f t="shared" si="11"/>
        <v>350</v>
      </c>
      <c r="E40" s="28"/>
      <c r="G40" s="1" t="s">
        <v>24</v>
      </c>
      <c r="H40" s="2">
        <v>1</v>
      </c>
      <c r="I40" s="2">
        <v>300</v>
      </c>
      <c r="J40" s="33">
        <f t="shared" si="10"/>
        <v>300</v>
      </c>
      <c r="K40" s="34"/>
      <c r="M40" s="1" t="s">
        <v>24</v>
      </c>
      <c r="N40" s="2">
        <v>1</v>
      </c>
      <c r="O40" s="2">
        <v>300</v>
      </c>
      <c r="P40" s="33">
        <f t="shared" si="9"/>
        <v>300</v>
      </c>
      <c r="Q40" s="34"/>
      <c r="S40" s="1"/>
      <c r="T40" s="2"/>
      <c r="U40" s="2"/>
      <c r="V40" s="42"/>
      <c r="W40" s="42"/>
    </row>
    <row r="41" spans="1:23" x14ac:dyDescent="0.3">
      <c r="A41" s="1" t="s">
        <v>24</v>
      </c>
      <c r="B41" s="2">
        <v>1</v>
      </c>
      <c r="C41" s="2">
        <v>300</v>
      </c>
      <c r="D41" s="27">
        <f t="shared" si="11"/>
        <v>300</v>
      </c>
      <c r="E41" s="28"/>
      <c r="G41" s="1" t="s">
        <v>19</v>
      </c>
      <c r="H41" s="2">
        <v>1</v>
      </c>
      <c r="I41" s="2">
        <v>1000</v>
      </c>
      <c r="J41" s="33">
        <f t="shared" si="10"/>
        <v>1000</v>
      </c>
      <c r="K41" s="34"/>
      <c r="M41" s="1" t="s">
        <v>19</v>
      </c>
      <c r="N41" s="2">
        <v>1</v>
      </c>
      <c r="O41" s="2">
        <v>1000</v>
      </c>
      <c r="P41" s="33">
        <f t="shared" si="9"/>
        <v>1000</v>
      </c>
      <c r="Q41" s="34"/>
      <c r="S41" s="1"/>
      <c r="T41" s="2"/>
      <c r="U41" s="2"/>
      <c r="V41" s="42"/>
      <c r="W41" s="42"/>
    </row>
    <row r="42" spans="1:23" x14ac:dyDescent="0.3">
      <c r="A42" s="1" t="s">
        <v>19</v>
      </c>
      <c r="B42" s="2">
        <v>1</v>
      </c>
      <c r="C42" s="2">
        <v>1000</v>
      </c>
      <c r="D42" s="27">
        <f t="shared" si="11"/>
        <v>1000</v>
      </c>
      <c r="E42" s="28"/>
      <c r="G42" s="1" t="s">
        <v>57</v>
      </c>
      <c r="H42" s="15">
        <v>1</v>
      </c>
      <c r="I42" s="15">
        <v>2300</v>
      </c>
      <c r="J42" s="37">
        <v>2300</v>
      </c>
      <c r="K42" s="37"/>
      <c r="M42" s="1" t="s">
        <v>57</v>
      </c>
      <c r="N42" s="15">
        <v>1</v>
      </c>
      <c r="O42" s="15">
        <v>2300</v>
      </c>
      <c r="P42" s="37">
        <v>2300</v>
      </c>
      <c r="Q42" s="37"/>
      <c r="S42" s="1"/>
      <c r="T42" s="15"/>
      <c r="U42" s="15"/>
      <c r="V42" s="37"/>
      <c r="W42" s="37"/>
    </row>
    <row r="43" spans="1:23" x14ac:dyDescent="0.3">
      <c r="A43" s="1" t="s">
        <v>57</v>
      </c>
      <c r="B43" s="15">
        <v>1</v>
      </c>
      <c r="C43" s="15">
        <v>2300</v>
      </c>
      <c r="D43" s="37">
        <f t="shared" si="11"/>
        <v>2300</v>
      </c>
      <c r="E43" s="37"/>
      <c r="G43" s="1" t="s">
        <v>58</v>
      </c>
      <c r="H43" s="15">
        <v>1</v>
      </c>
      <c r="I43" s="15">
        <v>500</v>
      </c>
      <c r="J43" s="37">
        <f t="shared" si="10"/>
        <v>500</v>
      </c>
      <c r="K43" s="37"/>
      <c r="M43" s="1" t="s">
        <v>58</v>
      </c>
      <c r="N43" s="15">
        <v>1</v>
      </c>
      <c r="O43" s="15">
        <v>500</v>
      </c>
      <c r="P43" s="37">
        <f t="shared" si="9"/>
        <v>500</v>
      </c>
      <c r="Q43" s="37"/>
      <c r="S43" s="1"/>
      <c r="T43" s="15"/>
      <c r="U43" s="15"/>
      <c r="V43" s="37"/>
      <c r="W43" s="37"/>
    </row>
    <row r="44" spans="1:23" x14ac:dyDescent="0.3">
      <c r="A44" s="1" t="s">
        <v>58</v>
      </c>
      <c r="B44" s="15">
        <v>1</v>
      </c>
      <c r="C44" s="15">
        <v>500</v>
      </c>
      <c r="D44" s="37">
        <f t="shared" si="11"/>
        <v>500</v>
      </c>
      <c r="E44" s="37"/>
      <c r="G44" s="10" t="s">
        <v>11</v>
      </c>
      <c r="H44" s="11"/>
      <c r="I44" s="12"/>
      <c r="J44" s="44">
        <f>SUM(J29:K43)</f>
        <v>18800.631982558141</v>
      </c>
      <c r="K44" s="45"/>
      <c r="M44" s="39" t="s">
        <v>11</v>
      </c>
      <c r="N44" s="40"/>
      <c r="O44" s="41"/>
      <c r="P44" s="35">
        <f>SUM(P29:Q43)</f>
        <v>18800.631982558141</v>
      </c>
      <c r="Q44" s="35"/>
      <c r="S44" s="36"/>
      <c r="T44" s="36"/>
      <c r="U44" s="36"/>
      <c r="V44" s="35"/>
      <c r="W44" s="35"/>
    </row>
    <row r="45" spans="1:23" x14ac:dyDescent="0.3">
      <c r="A45" s="18" t="s">
        <v>59</v>
      </c>
      <c r="B45" s="19">
        <v>1</v>
      </c>
      <c r="C45" s="19">
        <v>2818</v>
      </c>
      <c r="D45" s="37">
        <f t="shared" ref="D45" si="12">B45*C45</f>
        <v>2818</v>
      </c>
      <c r="E45" s="37"/>
      <c r="G45" s="43" t="s">
        <v>56</v>
      </c>
      <c r="H45" s="43"/>
      <c r="I45" s="43"/>
      <c r="J45" s="43"/>
      <c r="K45" s="13">
        <v>22000</v>
      </c>
      <c r="M45" s="43" t="s">
        <v>56</v>
      </c>
      <c r="N45" s="43"/>
      <c r="O45" s="43"/>
      <c r="P45" s="43"/>
      <c r="Q45" s="13">
        <v>27000</v>
      </c>
      <c r="S45" s="43"/>
      <c r="T45" s="43"/>
      <c r="U45" s="43"/>
      <c r="V45" s="43"/>
      <c r="W45" s="13"/>
    </row>
    <row r="46" spans="1:23" x14ac:dyDescent="0.3">
      <c r="A46" s="18" t="s">
        <v>60</v>
      </c>
      <c r="B46" s="19">
        <v>1</v>
      </c>
      <c r="C46" s="19">
        <v>2000</v>
      </c>
      <c r="D46" s="37">
        <f t="shared" ref="D46" si="13">B46*C46</f>
        <v>2000</v>
      </c>
      <c r="E46" s="37"/>
    </row>
    <row r="47" spans="1:23" x14ac:dyDescent="0.3">
      <c r="A47" s="36" t="s">
        <v>11</v>
      </c>
      <c r="B47" s="36"/>
      <c r="C47" s="36"/>
      <c r="D47" s="35">
        <f>SUM(D29:E46)</f>
        <v>29661.776654205609</v>
      </c>
      <c r="E47" s="35"/>
    </row>
    <row r="48" spans="1:23" x14ac:dyDescent="0.3">
      <c r="A48" s="14" t="s">
        <v>56</v>
      </c>
      <c r="B48" s="14"/>
      <c r="C48" s="14"/>
      <c r="D48" s="14"/>
      <c r="E48" s="13">
        <v>31000</v>
      </c>
    </row>
    <row r="49" spans="1:35" x14ac:dyDescent="0.3">
      <c r="A49" s="46"/>
      <c r="B49" s="47"/>
      <c r="C49" s="47"/>
      <c r="D49" s="47"/>
      <c r="E49" s="47"/>
      <c r="F49" s="47"/>
      <c r="G49" s="47"/>
    </row>
    <row r="50" spans="1:35" x14ac:dyDescent="0.3">
      <c r="A50" s="29" t="s">
        <v>28</v>
      </c>
      <c r="B50" s="29"/>
      <c r="C50" s="29"/>
      <c r="D50" s="29"/>
      <c r="E50" s="29"/>
      <c r="G50" s="30" t="s">
        <v>29</v>
      </c>
      <c r="H50" s="30"/>
      <c r="I50" s="30"/>
      <c r="J50" s="30"/>
      <c r="K50" s="30"/>
      <c r="M50" s="30" t="s">
        <v>42</v>
      </c>
      <c r="N50" s="30"/>
      <c r="O50" s="30"/>
      <c r="P50" s="30"/>
      <c r="Q50" s="30"/>
      <c r="S50" s="30"/>
      <c r="T50" s="30"/>
      <c r="U50" s="30"/>
      <c r="V50" s="30"/>
      <c r="W50" s="30"/>
      <c r="Y50" s="30"/>
      <c r="Z50" s="30"/>
      <c r="AA50" s="30"/>
      <c r="AB50" s="30"/>
      <c r="AC50" s="30"/>
      <c r="AE50" s="30"/>
      <c r="AF50" s="30"/>
      <c r="AG50" s="30"/>
      <c r="AH50" s="30"/>
      <c r="AI50" s="30"/>
    </row>
    <row r="51" spans="1:35" x14ac:dyDescent="0.3">
      <c r="A51" s="30"/>
      <c r="B51" s="30"/>
      <c r="C51" s="30"/>
      <c r="D51" s="30"/>
      <c r="E51" s="30"/>
      <c r="G51" s="30"/>
      <c r="H51" s="30"/>
      <c r="I51" s="30"/>
      <c r="J51" s="30"/>
      <c r="K51" s="30"/>
      <c r="M51" s="30"/>
      <c r="N51" s="30"/>
      <c r="O51" s="30"/>
      <c r="P51" s="30"/>
      <c r="Q51" s="30"/>
      <c r="S51" s="30"/>
      <c r="T51" s="30"/>
      <c r="U51" s="30"/>
      <c r="V51" s="30"/>
      <c r="W51" s="30"/>
      <c r="Y51" s="30"/>
      <c r="Z51" s="30"/>
      <c r="AA51" s="30"/>
      <c r="AB51" s="30"/>
      <c r="AC51" s="30"/>
      <c r="AE51" s="30"/>
      <c r="AF51" s="30"/>
      <c r="AG51" s="30"/>
      <c r="AH51" s="30"/>
      <c r="AI51" s="30"/>
    </row>
    <row r="52" spans="1:35" ht="20.399999999999999" x14ac:dyDescent="0.3">
      <c r="A52" s="3" t="s">
        <v>7</v>
      </c>
      <c r="B52" s="3" t="s">
        <v>8</v>
      </c>
      <c r="C52" s="3" t="s">
        <v>9</v>
      </c>
      <c r="D52" s="31" t="s">
        <v>10</v>
      </c>
      <c r="E52" s="32"/>
      <c r="G52" s="3" t="s">
        <v>7</v>
      </c>
      <c r="H52" s="3" t="s">
        <v>8</v>
      </c>
      <c r="I52" s="3" t="s">
        <v>9</v>
      </c>
      <c r="J52" s="31" t="s">
        <v>10</v>
      </c>
      <c r="K52" s="32"/>
      <c r="M52" s="3" t="s">
        <v>7</v>
      </c>
      <c r="N52" s="3" t="s">
        <v>8</v>
      </c>
      <c r="O52" s="3" t="s">
        <v>9</v>
      </c>
      <c r="P52" s="31" t="s">
        <v>10</v>
      </c>
      <c r="Q52" s="32"/>
      <c r="S52" s="3"/>
      <c r="T52" s="3"/>
      <c r="U52" s="3"/>
      <c r="V52" s="31"/>
      <c r="W52" s="32"/>
      <c r="Y52" s="3"/>
      <c r="Z52" s="3"/>
      <c r="AA52" s="3"/>
      <c r="AB52" s="31"/>
      <c r="AC52" s="32"/>
      <c r="AE52" s="3"/>
      <c r="AF52" s="3"/>
      <c r="AG52" s="3"/>
      <c r="AH52" s="31"/>
      <c r="AI52" s="32"/>
    </row>
    <row r="53" spans="1:35" x14ac:dyDescent="0.3">
      <c r="A53" s="9" t="s">
        <v>3</v>
      </c>
      <c r="B53" s="7">
        <f>23.35/531</f>
        <v>4.3973634651600757E-2</v>
      </c>
      <c r="C53" s="7">
        <f>3.01*12000</f>
        <v>36120</v>
      </c>
      <c r="D53" s="33">
        <f>B53*C53</f>
        <v>1588.3276836158193</v>
      </c>
      <c r="E53" s="34"/>
      <c r="G53" s="9" t="s">
        <v>3</v>
      </c>
      <c r="H53" s="7">
        <f>26.1/348</f>
        <v>7.4999999999999997E-2</v>
      </c>
      <c r="I53" s="7">
        <f>3.01*12000</f>
        <v>36120</v>
      </c>
      <c r="J53" s="33">
        <f>H53*I53</f>
        <v>2709</v>
      </c>
      <c r="K53" s="34"/>
      <c r="M53" s="9" t="s">
        <v>3</v>
      </c>
      <c r="N53" s="7">
        <f>23.35/531</f>
        <v>4.3973634651600757E-2</v>
      </c>
      <c r="O53" s="7">
        <f>3.01*12000</f>
        <v>36120</v>
      </c>
      <c r="P53" s="33">
        <f>N53*O53</f>
        <v>1588.3276836158193</v>
      </c>
      <c r="Q53" s="34"/>
      <c r="S53" s="9"/>
      <c r="T53" s="7"/>
      <c r="U53" s="7"/>
      <c r="V53" s="33"/>
      <c r="W53" s="34"/>
      <c r="Y53" s="9"/>
      <c r="Z53" s="7"/>
      <c r="AA53" s="7"/>
      <c r="AB53" s="33"/>
      <c r="AC53" s="34"/>
      <c r="AE53" s="9"/>
      <c r="AF53" s="7"/>
      <c r="AG53" s="7"/>
      <c r="AH53" s="33"/>
      <c r="AI53" s="34"/>
    </row>
    <row r="54" spans="1:35" x14ac:dyDescent="0.3">
      <c r="A54" s="9" t="s">
        <v>4</v>
      </c>
      <c r="B54" s="7">
        <f>23.35/531</f>
        <v>4.3973634651600757E-2</v>
      </c>
      <c r="C54" s="7">
        <f>1.5*12000</f>
        <v>18000</v>
      </c>
      <c r="D54" s="33">
        <f t="shared" ref="D54:D57" si="14">B54*C54</f>
        <v>791.52542372881362</v>
      </c>
      <c r="E54" s="34"/>
      <c r="G54" s="9" t="s">
        <v>4</v>
      </c>
      <c r="H54" s="7">
        <f>18/348</f>
        <v>5.1724137931034482E-2</v>
      </c>
      <c r="I54" s="7">
        <f>1.5*12000</f>
        <v>18000</v>
      </c>
      <c r="J54" s="33">
        <f t="shared" ref="J54:J57" si="15">H54*I54</f>
        <v>931.0344827586207</v>
      </c>
      <c r="K54" s="34"/>
      <c r="M54" s="9" t="s">
        <v>4</v>
      </c>
      <c r="N54" s="7">
        <f>23.35/531</f>
        <v>4.3973634651600757E-2</v>
      </c>
      <c r="O54" s="7">
        <f>1.5*12000</f>
        <v>18000</v>
      </c>
      <c r="P54" s="33">
        <f t="shared" ref="P54:P65" si="16">N54*O54</f>
        <v>791.52542372881362</v>
      </c>
      <c r="Q54" s="34"/>
      <c r="S54" s="9"/>
      <c r="T54" s="7"/>
      <c r="U54" s="7"/>
      <c r="V54" s="33"/>
      <c r="W54" s="34"/>
      <c r="Y54" s="9"/>
      <c r="Z54" s="7"/>
      <c r="AA54" s="7"/>
      <c r="AB54" s="33"/>
      <c r="AC54" s="34"/>
      <c r="AE54" s="9"/>
      <c r="AF54" s="7"/>
      <c r="AG54" s="7"/>
      <c r="AH54" s="33"/>
      <c r="AI54" s="34"/>
    </row>
    <row r="55" spans="1:35" x14ac:dyDescent="0.3">
      <c r="A55" s="9" t="s">
        <v>13</v>
      </c>
      <c r="B55" s="8">
        <f>3600/531</f>
        <v>6.7796610169491522</v>
      </c>
      <c r="C55" s="7">
        <v>665.12</v>
      </c>
      <c r="D55" s="33">
        <f t="shared" si="14"/>
        <v>4509.2881355932204</v>
      </c>
      <c r="E55" s="34"/>
      <c r="G55" s="9" t="s">
        <v>13</v>
      </c>
      <c r="H55" s="8">
        <f>3150/348</f>
        <v>9.0517241379310338</v>
      </c>
      <c r="I55" s="7">
        <v>665.12</v>
      </c>
      <c r="J55" s="33">
        <f t="shared" si="15"/>
        <v>6020.4827586206893</v>
      </c>
      <c r="K55" s="34"/>
      <c r="M55" s="9" t="s">
        <v>13</v>
      </c>
      <c r="N55" s="8">
        <f>(3600/531)+2.31</f>
        <v>9.0896610169491527</v>
      </c>
      <c r="O55" s="7">
        <v>665.12</v>
      </c>
      <c r="P55" s="33">
        <f t="shared" si="16"/>
        <v>6045.7153355932205</v>
      </c>
      <c r="Q55" s="34"/>
      <c r="S55" s="9"/>
      <c r="T55" s="7"/>
      <c r="U55" s="7"/>
      <c r="V55" s="33"/>
      <c r="W55" s="34"/>
      <c r="Y55" s="9"/>
      <c r="Z55" s="8"/>
      <c r="AA55" s="7"/>
      <c r="AB55" s="33"/>
      <c r="AC55" s="34"/>
      <c r="AE55" s="9"/>
      <c r="AF55" s="7"/>
      <c r="AG55" s="7"/>
      <c r="AH55" s="33"/>
      <c r="AI55" s="34"/>
    </row>
    <row r="56" spans="1:35" x14ac:dyDescent="0.3">
      <c r="A56" s="9" t="s">
        <v>14</v>
      </c>
      <c r="B56" s="8">
        <f>(6480/531)+2.31</f>
        <v>14.513389830508475</v>
      </c>
      <c r="C56" s="7">
        <v>65.97</v>
      </c>
      <c r="D56" s="33">
        <f t="shared" si="14"/>
        <v>957.4483271186441</v>
      </c>
      <c r="E56" s="34"/>
      <c r="G56" s="9" t="s">
        <v>14</v>
      </c>
      <c r="H56" s="8">
        <f>4320/348</f>
        <v>12.413793103448276</v>
      </c>
      <c r="I56" s="7">
        <v>65.97</v>
      </c>
      <c r="J56" s="33">
        <f t="shared" si="15"/>
        <v>818.93793103448274</v>
      </c>
      <c r="K56" s="34"/>
      <c r="M56" s="9" t="s">
        <v>14</v>
      </c>
      <c r="N56" s="8">
        <f>(6480/531)</f>
        <v>12.203389830508474</v>
      </c>
      <c r="O56" s="7">
        <v>65.97</v>
      </c>
      <c r="P56" s="33">
        <f t="shared" si="16"/>
        <v>805.05762711864406</v>
      </c>
      <c r="Q56" s="34"/>
      <c r="S56" s="9"/>
      <c r="T56" s="8"/>
      <c r="U56" s="7"/>
      <c r="V56" s="33"/>
      <c r="W56" s="34"/>
      <c r="Y56" s="9"/>
      <c r="Z56" s="8"/>
      <c r="AA56" s="7"/>
      <c r="AB56" s="33"/>
      <c r="AC56" s="34"/>
      <c r="AE56" s="9"/>
      <c r="AF56" s="8"/>
      <c r="AG56" s="7"/>
      <c r="AH56" s="33"/>
      <c r="AI56" s="34"/>
    </row>
    <row r="57" spans="1:35" x14ac:dyDescent="0.3">
      <c r="A57" s="9" t="s">
        <v>15</v>
      </c>
      <c r="B57" s="8">
        <f>1920/531</f>
        <v>3.615819209039548</v>
      </c>
      <c r="C57" s="7">
        <v>295</v>
      </c>
      <c r="D57" s="33">
        <f t="shared" si="14"/>
        <v>1066.6666666666667</v>
      </c>
      <c r="E57" s="34"/>
      <c r="G57" s="9" t="s">
        <v>15</v>
      </c>
      <c r="H57" s="8">
        <f>1440/348</f>
        <v>4.1379310344827589</v>
      </c>
      <c r="I57" s="7">
        <v>295</v>
      </c>
      <c r="J57" s="33">
        <f t="shared" si="15"/>
        <v>1220.6896551724139</v>
      </c>
      <c r="K57" s="34"/>
      <c r="M57" s="9" t="s">
        <v>15</v>
      </c>
      <c r="N57" s="8">
        <f>1920/531</f>
        <v>3.615819209039548</v>
      </c>
      <c r="O57" s="7">
        <v>295</v>
      </c>
      <c r="P57" s="33">
        <f t="shared" si="16"/>
        <v>1066.6666666666667</v>
      </c>
      <c r="Q57" s="34"/>
      <c r="S57" s="9"/>
      <c r="T57" s="8"/>
      <c r="U57" s="7"/>
      <c r="V57" s="33"/>
      <c r="W57" s="34"/>
      <c r="Y57" s="9"/>
      <c r="Z57" s="8"/>
      <c r="AA57" s="7"/>
      <c r="AB57" s="33"/>
      <c r="AC57" s="34"/>
      <c r="AE57" s="9"/>
      <c r="AF57" s="8"/>
      <c r="AG57" s="7"/>
      <c r="AH57" s="33"/>
      <c r="AI57" s="34"/>
    </row>
    <row r="58" spans="1:35" x14ac:dyDescent="0.3">
      <c r="A58" s="1" t="s">
        <v>18</v>
      </c>
      <c r="B58" s="2">
        <v>1</v>
      </c>
      <c r="C58" s="8">
        <f>0.31*12000</f>
        <v>3720</v>
      </c>
      <c r="D58" s="27">
        <f t="shared" ref="D58:D65" si="17">B58*C58</f>
        <v>3720</v>
      </c>
      <c r="E58" s="28"/>
      <c r="G58" s="1" t="s">
        <v>18</v>
      </c>
      <c r="H58" s="2">
        <v>1</v>
      </c>
      <c r="I58" s="8">
        <f>0.31*12000</f>
        <v>3720</v>
      </c>
      <c r="J58" s="27">
        <f t="shared" ref="J58:J65" si="18">H58*I58</f>
        <v>3720</v>
      </c>
      <c r="K58" s="28"/>
      <c r="M58" s="1" t="s">
        <v>43</v>
      </c>
      <c r="N58" s="2">
        <v>1</v>
      </c>
      <c r="O58" s="8">
        <f>0.15*12000</f>
        <v>1800</v>
      </c>
      <c r="P58" s="27">
        <f t="shared" si="16"/>
        <v>1800</v>
      </c>
      <c r="Q58" s="28"/>
      <c r="S58" s="1"/>
      <c r="T58" s="2"/>
      <c r="U58" s="8"/>
      <c r="V58" s="27"/>
      <c r="W58" s="28"/>
      <c r="Y58" s="1"/>
      <c r="Z58" s="2"/>
      <c r="AA58" s="8"/>
      <c r="AB58" s="27"/>
      <c r="AC58" s="28"/>
      <c r="AE58" s="1"/>
      <c r="AF58" s="2"/>
      <c r="AG58" s="8"/>
      <c r="AH58" s="27"/>
      <c r="AI58" s="28"/>
    </row>
    <row r="59" spans="1:35" x14ac:dyDescent="0.3">
      <c r="A59" s="1" t="s">
        <v>6</v>
      </c>
      <c r="B59" s="2">
        <v>1</v>
      </c>
      <c r="C59" s="2">
        <v>900</v>
      </c>
      <c r="D59" s="27">
        <f t="shared" si="17"/>
        <v>900</v>
      </c>
      <c r="E59" s="28"/>
      <c r="G59" s="1" t="s">
        <v>6</v>
      </c>
      <c r="H59" s="2">
        <v>1</v>
      </c>
      <c r="I59" s="2">
        <v>900</v>
      </c>
      <c r="J59" s="27">
        <f t="shared" si="18"/>
        <v>900</v>
      </c>
      <c r="K59" s="28"/>
      <c r="M59" s="1" t="s">
        <v>6</v>
      </c>
      <c r="N59" s="2">
        <v>1</v>
      </c>
      <c r="O59" s="2">
        <v>800</v>
      </c>
      <c r="P59" s="27">
        <f t="shared" si="16"/>
        <v>800</v>
      </c>
      <c r="Q59" s="28"/>
      <c r="S59" s="1"/>
      <c r="T59" s="2"/>
      <c r="U59" s="2"/>
      <c r="V59" s="27"/>
      <c r="W59" s="28"/>
      <c r="Y59" s="1"/>
      <c r="Z59" s="2"/>
      <c r="AA59" s="2"/>
      <c r="AB59" s="27"/>
      <c r="AC59" s="28"/>
      <c r="AE59" s="1"/>
      <c r="AF59" s="2"/>
      <c r="AG59" s="2"/>
      <c r="AH59" s="27"/>
      <c r="AI59" s="28"/>
    </row>
    <row r="60" spans="1:35" x14ac:dyDescent="0.3">
      <c r="A60" s="1" t="s">
        <v>21</v>
      </c>
      <c r="B60" s="2">
        <v>1</v>
      </c>
      <c r="C60" s="2">
        <v>80</v>
      </c>
      <c r="D60" s="27">
        <f t="shared" si="17"/>
        <v>80</v>
      </c>
      <c r="E60" s="28"/>
      <c r="G60" s="1" t="s">
        <v>21</v>
      </c>
      <c r="H60" s="2">
        <v>1</v>
      </c>
      <c r="I60" s="2">
        <v>80</v>
      </c>
      <c r="J60" s="27">
        <f t="shared" si="18"/>
        <v>80</v>
      </c>
      <c r="K60" s="28"/>
      <c r="M60" s="1" t="s">
        <v>21</v>
      </c>
      <c r="N60" s="2">
        <v>1</v>
      </c>
      <c r="O60" s="2">
        <v>80</v>
      </c>
      <c r="P60" s="27">
        <f t="shared" si="16"/>
        <v>80</v>
      </c>
      <c r="Q60" s="28"/>
      <c r="S60" s="1"/>
      <c r="T60" s="2"/>
      <c r="U60" s="2"/>
      <c r="V60" s="27"/>
      <c r="W60" s="28"/>
      <c r="Y60" s="1"/>
      <c r="Z60" s="2"/>
      <c r="AA60" s="2"/>
      <c r="AB60" s="27"/>
      <c r="AC60" s="28"/>
      <c r="AE60" s="1"/>
      <c r="AF60" s="2"/>
      <c r="AG60" s="2"/>
      <c r="AH60" s="27"/>
      <c r="AI60" s="28"/>
    </row>
    <row r="61" spans="1:35" x14ac:dyDescent="0.3">
      <c r="A61" s="1" t="s">
        <v>20</v>
      </c>
      <c r="B61" s="2">
        <v>1</v>
      </c>
      <c r="C61" s="2">
        <v>350</v>
      </c>
      <c r="D61" s="27">
        <f t="shared" si="17"/>
        <v>350</v>
      </c>
      <c r="E61" s="28"/>
      <c r="G61" s="1" t="s">
        <v>20</v>
      </c>
      <c r="H61" s="2">
        <v>1</v>
      </c>
      <c r="I61" s="2">
        <v>350</v>
      </c>
      <c r="J61" s="27">
        <f t="shared" si="18"/>
        <v>350</v>
      </c>
      <c r="K61" s="28"/>
      <c r="M61" s="1" t="s">
        <v>20</v>
      </c>
      <c r="N61" s="2">
        <v>1</v>
      </c>
      <c r="O61" s="2">
        <v>350</v>
      </c>
      <c r="P61" s="27">
        <f t="shared" si="16"/>
        <v>350</v>
      </c>
      <c r="Q61" s="28"/>
      <c r="S61" s="1"/>
      <c r="T61" s="2"/>
      <c r="U61" s="2"/>
      <c r="V61" s="27"/>
      <c r="W61" s="28"/>
      <c r="Y61" s="1"/>
      <c r="Z61" s="2"/>
      <c r="AA61" s="2"/>
      <c r="AB61" s="27"/>
      <c r="AC61" s="28"/>
      <c r="AE61" s="1"/>
      <c r="AF61" s="2"/>
      <c r="AG61" s="2"/>
      <c r="AH61" s="27"/>
      <c r="AI61" s="28"/>
    </row>
    <row r="62" spans="1:35" x14ac:dyDescent="0.3">
      <c r="A62" s="1" t="s">
        <v>24</v>
      </c>
      <c r="B62" s="2">
        <v>1</v>
      </c>
      <c r="C62" s="2">
        <v>300</v>
      </c>
      <c r="D62" s="27">
        <f t="shared" si="17"/>
        <v>300</v>
      </c>
      <c r="E62" s="28"/>
      <c r="G62" s="1" t="s">
        <v>24</v>
      </c>
      <c r="H62" s="2">
        <v>1</v>
      </c>
      <c r="I62" s="2">
        <v>300</v>
      </c>
      <c r="J62" s="27">
        <f t="shared" si="18"/>
        <v>300</v>
      </c>
      <c r="K62" s="28"/>
      <c r="M62" s="1" t="s">
        <v>24</v>
      </c>
      <c r="N62" s="2">
        <v>1</v>
      </c>
      <c r="O62" s="2">
        <v>300</v>
      </c>
      <c r="P62" s="27">
        <f t="shared" si="16"/>
        <v>300</v>
      </c>
      <c r="Q62" s="28"/>
      <c r="S62" s="1"/>
      <c r="T62" s="2"/>
      <c r="U62" s="2"/>
      <c r="V62" s="27"/>
      <c r="W62" s="28"/>
      <c r="Y62" s="1"/>
      <c r="Z62" s="2"/>
      <c r="AA62" s="2"/>
      <c r="AB62" s="27"/>
      <c r="AC62" s="28"/>
      <c r="AE62" s="1"/>
      <c r="AF62" s="2"/>
      <c r="AG62" s="2"/>
      <c r="AH62" s="27"/>
      <c r="AI62" s="28"/>
    </row>
    <row r="63" spans="1:35" x14ac:dyDescent="0.3">
      <c r="A63" s="1" t="s">
        <v>19</v>
      </c>
      <c r="B63" s="2">
        <v>1</v>
      </c>
      <c r="C63" s="2">
        <v>1000</v>
      </c>
      <c r="D63" s="27">
        <f t="shared" si="17"/>
        <v>1000</v>
      </c>
      <c r="E63" s="28"/>
      <c r="G63" s="1" t="s">
        <v>19</v>
      </c>
      <c r="H63" s="2">
        <v>1</v>
      </c>
      <c r="I63" s="2">
        <v>1000</v>
      </c>
      <c r="J63" s="27">
        <f t="shared" si="18"/>
        <v>1000</v>
      </c>
      <c r="K63" s="28"/>
      <c r="M63" s="1" t="s">
        <v>19</v>
      </c>
      <c r="N63" s="2">
        <v>1</v>
      </c>
      <c r="O63" s="2">
        <v>1000</v>
      </c>
      <c r="P63" s="27">
        <f t="shared" si="16"/>
        <v>1000</v>
      </c>
      <c r="Q63" s="28"/>
      <c r="S63" s="1"/>
      <c r="T63" s="2"/>
      <c r="U63" s="2"/>
      <c r="V63" s="27"/>
      <c r="W63" s="28"/>
      <c r="Y63" s="1"/>
      <c r="Z63" s="2"/>
      <c r="AA63" s="2"/>
      <c r="AB63" s="27"/>
      <c r="AC63" s="28"/>
      <c r="AE63" s="1"/>
      <c r="AF63" s="2"/>
      <c r="AG63" s="2"/>
      <c r="AH63" s="27"/>
      <c r="AI63" s="28"/>
    </row>
    <row r="64" spans="1:35" x14ac:dyDescent="0.3">
      <c r="A64" s="1" t="s">
        <v>57</v>
      </c>
      <c r="B64" s="15">
        <v>1</v>
      </c>
      <c r="C64" s="15">
        <v>2300</v>
      </c>
      <c r="D64" s="37">
        <f t="shared" si="17"/>
        <v>2300</v>
      </c>
      <c r="E64" s="37"/>
      <c r="G64" s="1" t="s">
        <v>57</v>
      </c>
      <c r="H64" s="15">
        <v>1</v>
      </c>
      <c r="I64" s="15">
        <v>2300</v>
      </c>
      <c r="J64" s="37">
        <f t="shared" si="18"/>
        <v>2300</v>
      </c>
      <c r="K64" s="37"/>
      <c r="M64" s="1" t="s">
        <v>57</v>
      </c>
      <c r="N64" s="15">
        <v>1</v>
      </c>
      <c r="O64" s="15">
        <v>2300</v>
      </c>
      <c r="P64" s="37">
        <f t="shared" si="16"/>
        <v>2300</v>
      </c>
      <c r="Q64" s="37"/>
      <c r="S64" s="1"/>
      <c r="T64" s="15"/>
      <c r="U64" s="15"/>
      <c r="V64" s="37"/>
      <c r="W64" s="37"/>
      <c r="Y64" s="1"/>
      <c r="Z64" s="15"/>
      <c r="AA64" s="15"/>
      <c r="AB64" s="37"/>
      <c r="AC64" s="37"/>
      <c r="AE64" s="1"/>
      <c r="AF64" s="15"/>
      <c r="AG64" s="15"/>
      <c r="AH64" s="37"/>
      <c r="AI64" s="37"/>
    </row>
    <row r="65" spans="1:35" x14ac:dyDescent="0.3">
      <c r="A65" s="1" t="s">
        <v>58</v>
      </c>
      <c r="B65" s="15">
        <v>1</v>
      </c>
      <c r="C65" s="15">
        <v>500</v>
      </c>
      <c r="D65" s="37">
        <f t="shared" si="17"/>
        <v>500</v>
      </c>
      <c r="E65" s="37"/>
      <c r="G65" s="1" t="s">
        <v>58</v>
      </c>
      <c r="H65" s="15">
        <v>1</v>
      </c>
      <c r="I65" s="15">
        <v>500</v>
      </c>
      <c r="J65" s="37">
        <f t="shared" si="18"/>
        <v>500</v>
      </c>
      <c r="K65" s="37"/>
      <c r="M65" s="1" t="s">
        <v>58</v>
      </c>
      <c r="N65" s="15">
        <v>1</v>
      </c>
      <c r="O65" s="15">
        <v>500</v>
      </c>
      <c r="P65" s="37">
        <f t="shared" si="16"/>
        <v>500</v>
      </c>
      <c r="Q65" s="37"/>
      <c r="S65" s="1"/>
      <c r="T65" s="15"/>
      <c r="U65" s="15"/>
      <c r="V65" s="37"/>
      <c r="W65" s="37"/>
      <c r="Y65" s="1"/>
      <c r="Z65" s="15"/>
      <c r="AA65" s="15"/>
      <c r="AB65" s="37"/>
      <c r="AC65" s="37"/>
      <c r="AE65" s="1"/>
      <c r="AF65" s="15"/>
      <c r="AG65" s="15"/>
      <c r="AH65" s="37"/>
      <c r="AI65" s="37"/>
    </row>
    <row r="66" spans="1:35" x14ac:dyDescent="0.3">
      <c r="A66" s="18" t="s">
        <v>59</v>
      </c>
      <c r="B66" s="19">
        <v>1</v>
      </c>
      <c r="C66" s="19">
        <v>3091</v>
      </c>
      <c r="D66" s="37">
        <f t="shared" ref="D66:D67" si="19">B66*C66</f>
        <v>3091</v>
      </c>
      <c r="E66" s="37"/>
      <c r="G66" s="18" t="s">
        <v>59</v>
      </c>
      <c r="H66" s="19">
        <v>1</v>
      </c>
      <c r="I66" s="19">
        <v>3591</v>
      </c>
      <c r="J66" s="37">
        <f t="shared" ref="J66:J67" si="20">H66*I66</f>
        <v>3591</v>
      </c>
      <c r="K66" s="37"/>
      <c r="M66" s="39" t="s">
        <v>11</v>
      </c>
      <c r="N66" s="40"/>
      <c r="O66" s="41"/>
      <c r="P66" s="35">
        <f>SUM(P53:Q65)</f>
        <v>17427.29273672316</v>
      </c>
      <c r="Q66" s="35"/>
      <c r="S66" s="39"/>
      <c r="T66" s="40"/>
      <c r="U66" s="41"/>
      <c r="V66" s="44"/>
      <c r="W66" s="45"/>
      <c r="Y66" s="39"/>
      <c r="Z66" s="40"/>
      <c r="AA66" s="41"/>
      <c r="AB66" s="35"/>
      <c r="AC66" s="35"/>
      <c r="AE66" s="39"/>
      <c r="AF66" s="40"/>
      <c r="AG66" s="41"/>
      <c r="AH66" s="44"/>
      <c r="AI66" s="45"/>
    </row>
    <row r="67" spans="1:35" x14ac:dyDescent="0.3">
      <c r="A67" s="18" t="s">
        <v>60</v>
      </c>
      <c r="B67" s="19">
        <v>1</v>
      </c>
      <c r="C67" s="19">
        <v>2000</v>
      </c>
      <c r="D67" s="37">
        <f t="shared" si="19"/>
        <v>2000</v>
      </c>
      <c r="E67" s="37"/>
      <c r="G67" s="18" t="s">
        <v>60</v>
      </c>
      <c r="H67" s="19">
        <v>1</v>
      </c>
      <c r="I67" s="19">
        <v>2000</v>
      </c>
      <c r="J67" s="37">
        <f t="shared" si="20"/>
        <v>2000</v>
      </c>
      <c r="K67" s="37"/>
      <c r="M67" s="43" t="s">
        <v>56</v>
      </c>
      <c r="N67" s="43"/>
      <c r="O67" s="43"/>
      <c r="P67" s="43"/>
      <c r="Q67" s="13">
        <v>22000</v>
      </c>
      <c r="S67" s="43"/>
      <c r="T67" s="43"/>
      <c r="U67" s="43"/>
      <c r="V67" s="43"/>
      <c r="W67" s="13"/>
      <c r="Y67" s="43"/>
      <c r="Z67" s="43"/>
      <c r="AA67" s="43"/>
      <c r="AB67" s="43"/>
      <c r="AC67" s="13"/>
      <c r="AE67" s="43"/>
      <c r="AF67" s="43"/>
      <c r="AG67" s="43"/>
      <c r="AH67" s="43"/>
      <c r="AI67" s="13"/>
    </row>
    <row r="68" spans="1:35" x14ac:dyDescent="0.3">
      <c r="A68" s="39" t="s">
        <v>11</v>
      </c>
      <c r="B68" s="40"/>
      <c r="C68" s="41"/>
      <c r="D68" s="35">
        <f>SUM(D53:E67)</f>
        <v>23154.256236723166</v>
      </c>
      <c r="E68" s="35"/>
      <c r="G68" s="39" t="s">
        <v>11</v>
      </c>
      <c r="H68" s="40"/>
      <c r="I68" s="41"/>
      <c r="J68" s="35">
        <f>SUM(J53:K67)</f>
        <v>26441.144827586206</v>
      </c>
      <c r="K68" s="35"/>
      <c r="M68" s="16"/>
      <c r="N68" s="16"/>
      <c r="O68" s="16"/>
      <c r="P68" s="16"/>
      <c r="Q68" s="17"/>
      <c r="S68" s="16"/>
      <c r="T68" s="16"/>
      <c r="U68" s="16"/>
      <c r="V68" s="16"/>
      <c r="W68" s="17"/>
      <c r="Y68" s="16"/>
      <c r="Z68" s="16"/>
      <c r="AA68" s="16"/>
      <c r="AB68" s="16"/>
      <c r="AC68" s="17"/>
      <c r="AE68" s="16"/>
      <c r="AF68" s="16"/>
      <c r="AG68" s="16"/>
      <c r="AH68" s="16"/>
      <c r="AI68" s="17"/>
    </row>
    <row r="69" spans="1:35" x14ac:dyDescent="0.3">
      <c r="A69" s="14" t="s">
        <v>56</v>
      </c>
      <c r="B69" s="14"/>
      <c r="C69" s="14"/>
      <c r="D69" s="14"/>
      <c r="E69" s="13">
        <v>34000</v>
      </c>
      <c r="G69" s="43" t="s">
        <v>56</v>
      </c>
      <c r="H69" s="43"/>
      <c r="I69" s="43"/>
      <c r="J69" s="43"/>
      <c r="K69" s="13">
        <v>39500</v>
      </c>
      <c r="M69" s="16"/>
      <c r="N69" s="16"/>
      <c r="O69" s="16"/>
      <c r="P69" s="16"/>
      <c r="Q69" s="17"/>
      <c r="S69" s="16"/>
      <c r="T69" s="16"/>
      <c r="U69" s="16"/>
      <c r="V69" s="16"/>
      <c r="W69" s="17"/>
      <c r="Y69" s="16"/>
      <c r="Z69" s="16"/>
      <c r="AA69" s="16"/>
      <c r="AB69" s="16"/>
      <c r="AC69" s="17"/>
      <c r="AE69" s="16"/>
      <c r="AF69" s="16"/>
      <c r="AG69" s="16"/>
      <c r="AH69" s="16"/>
      <c r="AI69" s="17"/>
    </row>
    <row r="71" spans="1:35" x14ac:dyDescent="0.3">
      <c r="A71" s="30" t="s">
        <v>50</v>
      </c>
      <c r="B71" s="30"/>
      <c r="C71" s="30"/>
      <c r="D71" s="30"/>
      <c r="E71" s="30"/>
      <c r="G71" s="30" t="s">
        <v>54</v>
      </c>
      <c r="H71" s="30"/>
      <c r="I71" s="30"/>
      <c r="J71" s="30"/>
      <c r="K71" s="30"/>
      <c r="M71" s="30" t="s">
        <v>39</v>
      </c>
      <c r="N71" s="30"/>
      <c r="O71" s="30"/>
      <c r="P71" s="30"/>
      <c r="Q71" s="30"/>
    </row>
    <row r="72" spans="1:35" x14ac:dyDescent="0.3">
      <c r="A72" s="30"/>
      <c r="B72" s="30"/>
      <c r="C72" s="30"/>
      <c r="D72" s="30"/>
      <c r="E72" s="30"/>
      <c r="G72" s="30"/>
      <c r="H72" s="30"/>
      <c r="I72" s="30"/>
      <c r="J72" s="30"/>
      <c r="K72" s="30"/>
      <c r="M72" s="30"/>
      <c r="N72" s="30"/>
      <c r="O72" s="30"/>
      <c r="P72" s="30"/>
      <c r="Q72" s="30"/>
    </row>
    <row r="73" spans="1:35" ht="20.399999999999999" x14ac:dyDescent="0.3">
      <c r="A73" s="3" t="s">
        <v>7</v>
      </c>
      <c r="B73" s="3" t="s">
        <v>8</v>
      </c>
      <c r="C73" s="3" t="s">
        <v>9</v>
      </c>
      <c r="D73" s="31" t="s">
        <v>10</v>
      </c>
      <c r="E73" s="32"/>
      <c r="G73" s="3" t="s">
        <v>7</v>
      </c>
      <c r="H73" s="3" t="s">
        <v>8</v>
      </c>
      <c r="I73" s="3" t="s">
        <v>9</v>
      </c>
      <c r="J73" s="31" t="s">
        <v>10</v>
      </c>
      <c r="K73" s="32"/>
      <c r="M73" s="3" t="s">
        <v>7</v>
      </c>
      <c r="N73" s="3" t="s">
        <v>8</v>
      </c>
      <c r="O73" s="3" t="s">
        <v>9</v>
      </c>
      <c r="P73" s="38" t="s">
        <v>10</v>
      </c>
      <c r="Q73" s="38"/>
    </row>
    <row r="74" spans="1:35" x14ac:dyDescent="0.3">
      <c r="A74" s="9" t="s">
        <v>1</v>
      </c>
      <c r="B74" s="7">
        <f>400/80</f>
        <v>5</v>
      </c>
      <c r="C74" s="7">
        <v>496.33</v>
      </c>
      <c r="D74" s="33">
        <f>B74*C74</f>
        <v>2481.65</v>
      </c>
      <c r="E74" s="34"/>
      <c r="G74" s="9" t="s">
        <v>1</v>
      </c>
      <c r="H74" s="7">
        <f>322/25</f>
        <v>12.88</v>
      </c>
      <c r="I74" s="7">
        <v>504.12</v>
      </c>
      <c r="J74" s="33">
        <f>H74*I74</f>
        <v>6493.0656000000008</v>
      </c>
      <c r="K74" s="34"/>
      <c r="M74" s="9" t="s">
        <v>0</v>
      </c>
      <c r="N74" s="7">
        <f>12/252</f>
        <v>4.7619047619047616E-2</v>
      </c>
      <c r="O74" s="7">
        <f>1.1*12000</f>
        <v>13200.000000000002</v>
      </c>
      <c r="P74" s="42">
        <f>N74*O74</f>
        <v>628.57142857142867</v>
      </c>
      <c r="Q74" s="42"/>
    </row>
    <row r="75" spans="1:35" x14ac:dyDescent="0.3">
      <c r="A75" s="9" t="s">
        <v>3</v>
      </c>
      <c r="B75" s="7">
        <f>2/80</f>
        <v>2.5000000000000001E-2</v>
      </c>
      <c r="C75" s="7">
        <f>3*12000</f>
        <v>36000</v>
      </c>
      <c r="D75" s="33">
        <f t="shared" ref="D75:D81" si="21">B75*C75</f>
        <v>900</v>
      </c>
      <c r="E75" s="34"/>
      <c r="G75" s="9" t="s">
        <v>3</v>
      </c>
      <c r="H75" s="7">
        <f>1.5/25</f>
        <v>0.06</v>
      </c>
      <c r="I75" s="7">
        <f>3*12000</f>
        <v>36000</v>
      </c>
      <c r="J75" s="33">
        <f t="shared" ref="J75:J77" si="22">H75*I75</f>
        <v>2160</v>
      </c>
      <c r="K75" s="34"/>
      <c r="M75" s="9" t="s">
        <v>16</v>
      </c>
      <c r="N75" s="8">
        <f>4080/252</f>
        <v>16.19047619047619</v>
      </c>
      <c r="O75" s="7">
        <v>285</v>
      </c>
      <c r="P75" s="42">
        <f t="shared" ref="P75:P86" si="23">N75*O75</f>
        <v>4614.2857142857138</v>
      </c>
      <c r="Q75" s="42"/>
    </row>
    <row r="76" spans="1:35" x14ac:dyDescent="0.3">
      <c r="A76" s="9" t="s">
        <v>4</v>
      </c>
      <c r="B76" s="7">
        <f>2/80</f>
        <v>2.5000000000000001E-2</v>
      </c>
      <c r="C76" s="7">
        <f>1.5*12000</f>
        <v>18000</v>
      </c>
      <c r="D76" s="33">
        <f t="shared" si="21"/>
        <v>450</v>
      </c>
      <c r="E76" s="34"/>
      <c r="G76" s="9" t="s">
        <v>4</v>
      </c>
      <c r="H76" s="7">
        <f>1/25</f>
        <v>0.04</v>
      </c>
      <c r="I76" s="7">
        <f>1.51*12000</f>
        <v>18120</v>
      </c>
      <c r="J76" s="33">
        <f t="shared" si="22"/>
        <v>724.80000000000007</v>
      </c>
      <c r="K76" s="34"/>
      <c r="M76" s="9" t="s">
        <v>3</v>
      </c>
      <c r="N76" s="7">
        <f>6/252</f>
        <v>2.3809523809523808E-2</v>
      </c>
      <c r="O76" s="7">
        <f>3*12000</f>
        <v>36000</v>
      </c>
      <c r="P76" s="42">
        <f t="shared" si="23"/>
        <v>857.14285714285711</v>
      </c>
      <c r="Q76" s="42"/>
    </row>
    <row r="77" spans="1:35" x14ac:dyDescent="0.3">
      <c r="A77" s="9" t="s">
        <v>13</v>
      </c>
      <c r="B77" s="7">
        <f>700/80</f>
        <v>8.75</v>
      </c>
      <c r="C77" s="7">
        <v>665.01</v>
      </c>
      <c r="D77" s="33">
        <f t="shared" si="21"/>
        <v>5818.8374999999996</v>
      </c>
      <c r="E77" s="34"/>
      <c r="G77" s="9" t="s">
        <v>13</v>
      </c>
      <c r="H77" s="7">
        <f>175/25</f>
        <v>7</v>
      </c>
      <c r="I77" s="7">
        <v>622.82000000000005</v>
      </c>
      <c r="J77" s="33">
        <f t="shared" si="22"/>
        <v>4359.7400000000007</v>
      </c>
      <c r="K77" s="34"/>
      <c r="M77" s="9" t="s">
        <v>41</v>
      </c>
      <c r="N77" s="7">
        <f>300/252</f>
        <v>1.1904761904761905</v>
      </c>
      <c r="O77" s="7">
        <v>451.37</v>
      </c>
      <c r="P77" s="42">
        <f t="shared" si="23"/>
        <v>537.34523809523807</v>
      </c>
      <c r="Q77" s="42"/>
    </row>
    <row r="78" spans="1:35" x14ac:dyDescent="0.3">
      <c r="A78" s="9" t="s">
        <v>14</v>
      </c>
      <c r="B78" s="7">
        <f>900/80</f>
        <v>11.25</v>
      </c>
      <c r="C78" s="7">
        <v>65.97</v>
      </c>
      <c r="D78" s="33">
        <f t="shared" si="21"/>
        <v>742.16250000000002</v>
      </c>
      <c r="E78" s="34"/>
      <c r="G78" s="1" t="s">
        <v>55</v>
      </c>
      <c r="H78" s="2">
        <v>1</v>
      </c>
      <c r="I78" s="8">
        <f>0.15*12000</f>
        <v>1800</v>
      </c>
      <c r="J78" s="33">
        <f t="shared" ref="J78:J85" si="24">H78*I78</f>
        <v>1800</v>
      </c>
      <c r="K78" s="34"/>
      <c r="M78" s="9" t="s">
        <v>17</v>
      </c>
      <c r="N78" s="7">
        <f>120/252</f>
        <v>0.47619047619047616</v>
      </c>
      <c r="O78" s="8">
        <v>1898.59</v>
      </c>
      <c r="P78" s="42">
        <f t="shared" si="23"/>
        <v>904.09047619047612</v>
      </c>
      <c r="Q78" s="42"/>
    </row>
    <row r="79" spans="1:35" x14ac:dyDescent="0.3">
      <c r="A79" s="9" t="s">
        <v>52</v>
      </c>
      <c r="B79" s="7">
        <f>1.6/80</f>
        <v>0.02</v>
      </c>
      <c r="C79" s="7">
        <f>7.02*12000</f>
        <v>84240</v>
      </c>
      <c r="D79" s="33">
        <f t="shared" si="21"/>
        <v>1684.8</v>
      </c>
      <c r="E79" s="34"/>
      <c r="G79" s="1" t="s">
        <v>6</v>
      </c>
      <c r="H79" s="2">
        <v>1</v>
      </c>
      <c r="I79" s="2">
        <v>800</v>
      </c>
      <c r="J79" s="33">
        <f t="shared" si="24"/>
        <v>800</v>
      </c>
      <c r="K79" s="34"/>
      <c r="M79" s="9" t="s">
        <v>4</v>
      </c>
      <c r="N79" s="7">
        <f>6/252</f>
        <v>2.3809523809523808E-2</v>
      </c>
      <c r="O79" s="7">
        <f>1.5*12000</f>
        <v>18000</v>
      </c>
      <c r="P79" s="42">
        <f t="shared" si="23"/>
        <v>428.57142857142856</v>
      </c>
      <c r="Q79" s="42"/>
    </row>
    <row r="80" spans="1:35" x14ac:dyDescent="0.3">
      <c r="A80" s="9" t="s">
        <v>53</v>
      </c>
      <c r="B80" s="7">
        <f>6.4/80</f>
        <v>0.08</v>
      </c>
      <c r="C80" s="7">
        <f>6*12000</f>
        <v>72000</v>
      </c>
      <c r="D80" s="33">
        <f t="shared" si="21"/>
        <v>5760</v>
      </c>
      <c r="E80" s="34"/>
      <c r="G80" s="1" t="s">
        <v>21</v>
      </c>
      <c r="H80" s="2">
        <v>1</v>
      </c>
      <c r="I80" s="2">
        <v>80</v>
      </c>
      <c r="J80" s="33">
        <f t="shared" si="24"/>
        <v>80</v>
      </c>
      <c r="K80" s="34"/>
      <c r="M80" s="9" t="s">
        <v>27</v>
      </c>
      <c r="N80" s="8">
        <f>1800/252</f>
        <v>7.1428571428571432</v>
      </c>
      <c r="O80" s="7">
        <v>412.81</v>
      </c>
      <c r="P80" s="42">
        <f t="shared" si="23"/>
        <v>2948.6428571428573</v>
      </c>
      <c r="Q80" s="42"/>
    </row>
    <row r="81" spans="1:17" x14ac:dyDescent="0.3">
      <c r="A81" s="1" t="s">
        <v>51</v>
      </c>
      <c r="B81" s="2">
        <v>1</v>
      </c>
      <c r="C81" s="8">
        <f>0.31*12000</f>
        <v>3720</v>
      </c>
      <c r="D81" s="33">
        <f t="shared" si="21"/>
        <v>3720</v>
      </c>
      <c r="E81" s="34"/>
      <c r="G81" s="1" t="s">
        <v>20</v>
      </c>
      <c r="H81" s="2">
        <v>1</v>
      </c>
      <c r="I81" s="2">
        <v>350</v>
      </c>
      <c r="J81" s="33">
        <f t="shared" si="24"/>
        <v>350</v>
      </c>
      <c r="K81" s="34"/>
      <c r="M81" s="1" t="s">
        <v>40</v>
      </c>
      <c r="N81" s="2">
        <v>1</v>
      </c>
      <c r="O81" s="8">
        <f>0.17*12000</f>
        <v>2040.0000000000002</v>
      </c>
      <c r="P81" s="42">
        <f t="shared" si="23"/>
        <v>2040.0000000000002</v>
      </c>
      <c r="Q81" s="42"/>
    </row>
    <row r="82" spans="1:17" x14ac:dyDescent="0.3">
      <c r="A82" s="1" t="s">
        <v>6</v>
      </c>
      <c r="B82" s="2">
        <v>1</v>
      </c>
      <c r="C82" s="2">
        <f>25*32</f>
        <v>800</v>
      </c>
      <c r="D82" s="27">
        <f t="shared" ref="D82:D88" si="25">B82*C82</f>
        <v>800</v>
      </c>
      <c r="E82" s="28"/>
      <c r="G82" s="1" t="s">
        <v>24</v>
      </c>
      <c r="H82" s="2">
        <v>1</v>
      </c>
      <c r="I82" s="2">
        <v>300</v>
      </c>
      <c r="J82" s="27">
        <f t="shared" si="24"/>
        <v>300</v>
      </c>
      <c r="K82" s="28"/>
      <c r="M82" s="1" t="s">
        <v>6</v>
      </c>
      <c r="N82" s="2">
        <v>1</v>
      </c>
      <c r="O82" s="2">
        <v>800</v>
      </c>
      <c r="P82" s="42">
        <f t="shared" si="23"/>
        <v>800</v>
      </c>
      <c r="Q82" s="42"/>
    </row>
    <row r="83" spans="1:17" x14ac:dyDescent="0.3">
      <c r="A83" s="1" t="s">
        <v>21</v>
      </c>
      <c r="B83" s="2">
        <v>1</v>
      </c>
      <c r="C83" s="2">
        <v>80</v>
      </c>
      <c r="D83" s="27">
        <f t="shared" si="25"/>
        <v>80</v>
      </c>
      <c r="E83" s="28"/>
      <c r="G83" s="1" t="s">
        <v>19</v>
      </c>
      <c r="H83" s="2">
        <v>1</v>
      </c>
      <c r="I83" s="2">
        <v>500</v>
      </c>
      <c r="J83" s="27">
        <f t="shared" si="24"/>
        <v>500</v>
      </c>
      <c r="K83" s="28"/>
      <c r="M83" s="1" t="s">
        <v>21</v>
      </c>
      <c r="N83" s="2">
        <v>1</v>
      </c>
      <c r="O83" s="2">
        <v>80</v>
      </c>
      <c r="P83" s="42">
        <f t="shared" si="23"/>
        <v>80</v>
      </c>
      <c r="Q83" s="42"/>
    </row>
    <row r="84" spans="1:17" x14ac:dyDescent="0.3">
      <c r="A84" s="1" t="s">
        <v>20</v>
      </c>
      <c r="B84" s="2">
        <v>1</v>
      </c>
      <c r="C84" s="2">
        <v>350</v>
      </c>
      <c r="D84" s="27">
        <f t="shared" si="25"/>
        <v>350</v>
      </c>
      <c r="E84" s="28"/>
      <c r="G84" s="1" t="s">
        <v>57</v>
      </c>
      <c r="H84" s="15">
        <v>1</v>
      </c>
      <c r="I84" s="15">
        <v>2300</v>
      </c>
      <c r="J84" s="37">
        <f t="shared" si="24"/>
        <v>2300</v>
      </c>
      <c r="K84" s="37"/>
      <c r="M84" s="1" t="s">
        <v>20</v>
      </c>
      <c r="N84" s="2">
        <v>1</v>
      </c>
      <c r="O84" s="2">
        <v>350</v>
      </c>
      <c r="P84" s="42">
        <f t="shared" si="23"/>
        <v>350</v>
      </c>
      <c r="Q84" s="42"/>
    </row>
    <row r="85" spans="1:17" x14ac:dyDescent="0.3">
      <c r="A85" s="1" t="s">
        <v>24</v>
      </c>
      <c r="B85" s="2">
        <v>1</v>
      </c>
      <c r="C85" s="2">
        <v>300</v>
      </c>
      <c r="D85" s="27">
        <f t="shared" si="25"/>
        <v>300</v>
      </c>
      <c r="E85" s="28"/>
      <c r="G85" s="1" t="s">
        <v>58</v>
      </c>
      <c r="H85" s="15">
        <v>1</v>
      </c>
      <c r="I85" s="15">
        <v>500</v>
      </c>
      <c r="J85" s="37">
        <f t="shared" si="24"/>
        <v>500</v>
      </c>
      <c r="K85" s="37"/>
      <c r="M85" s="1" t="s">
        <v>24</v>
      </c>
      <c r="N85" s="2">
        <v>1</v>
      </c>
      <c r="O85" s="2">
        <v>300</v>
      </c>
      <c r="P85" s="42">
        <f t="shared" si="23"/>
        <v>300</v>
      </c>
      <c r="Q85" s="42"/>
    </row>
    <row r="86" spans="1:17" x14ac:dyDescent="0.3">
      <c r="A86" s="1" t="s">
        <v>19</v>
      </c>
      <c r="B86" s="2">
        <v>1</v>
      </c>
      <c r="C86" s="2">
        <v>1000</v>
      </c>
      <c r="D86" s="27">
        <f t="shared" si="25"/>
        <v>1000</v>
      </c>
      <c r="E86" s="28"/>
      <c r="G86" s="39" t="s">
        <v>11</v>
      </c>
      <c r="H86" s="40"/>
      <c r="I86" s="41"/>
      <c r="J86" s="35">
        <f>SUM(J74:K85)</f>
        <v>20367.605600000003</v>
      </c>
      <c r="K86" s="35"/>
      <c r="M86" s="1" t="s">
        <v>19</v>
      </c>
      <c r="N86" s="2">
        <v>1</v>
      </c>
      <c r="O86" s="2">
        <v>500</v>
      </c>
      <c r="P86" s="42">
        <f t="shared" si="23"/>
        <v>500</v>
      </c>
      <c r="Q86" s="42"/>
    </row>
    <row r="87" spans="1:17" x14ac:dyDescent="0.3">
      <c r="A87" s="1" t="s">
        <v>57</v>
      </c>
      <c r="B87" s="15">
        <v>1</v>
      </c>
      <c r="C87" s="15">
        <v>2300</v>
      </c>
      <c r="D87" s="37">
        <f t="shared" si="25"/>
        <v>2300</v>
      </c>
      <c r="E87" s="37"/>
      <c r="G87" s="43" t="s">
        <v>56</v>
      </c>
      <c r="H87" s="43"/>
      <c r="I87" s="43"/>
      <c r="J87" s="43"/>
      <c r="K87" s="13">
        <v>30000</v>
      </c>
      <c r="M87" s="1" t="s">
        <v>57</v>
      </c>
      <c r="N87" s="15">
        <v>1</v>
      </c>
      <c r="O87" s="15">
        <v>2300</v>
      </c>
      <c r="P87" s="37">
        <v>2300</v>
      </c>
      <c r="Q87" s="37"/>
    </row>
    <row r="88" spans="1:17" x14ac:dyDescent="0.3">
      <c r="A88" s="1" t="s">
        <v>58</v>
      </c>
      <c r="B88" s="15">
        <v>1</v>
      </c>
      <c r="C88" s="15">
        <v>500</v>
      </c>
      <c r="D88" s="37">
        <f t="shared" si="25"/>
        <v>500</v>
      </c>
      <c r="E88" s="37"/>
      <c r="M88" s="1" t="s">
        <v>58</v>
      </c>
      <c r="N88" s="15">
        <v>1</v>
      </c>
      <c r="O88" s="15">
        <v>500</v>
      </c>
      <c r="P88" s="37">
        <f t="shared" ref="P88" si="26">N88*O88</f>
        <v>500</v>
      </c>
      <c r="Q88" s="37"/>
    </row>
    <row r="89" spans="1:17" x14ac:dyDescent="0.3">
      <c r="A89" s="39" t="s">
        <v>11</v>
      </c>
      <c r="B89" s="40"/>
      <c r="C89" s="41"/>
      <c r="D89" s="35">
        <f>SUM(D74:E88)</f>
        <v>26887.449999999997</v>
      </c>
      <c r="E89" s="35"/>
      <c r="M89" s="36" t="s">
        <v>11</v>
      </c>
      <c r="N89" s="36"/>
      <c r="O89" s="36"/>
      <c r="P89" s="35">
        <f>SUM(P74:Q88)</f>
        <v>17788.649999999998</v>
      </c>
      <c r="Q89" s="35"/>
    </row>
    <row r="90" spans="1:17" x14ac:dyDescent="0.3">
      <c r="A90" s="43" t="s">
        <v>56</v>
      </c>
      <c r="B90" s="43"/>
      <c r="C90" s="43"/>
      <c r="D90" s="43"/>
      <c r="E90" s="13">
        <v>41000</v>
      </c>
      <c r="M90" s="43" t="s">
        <v>56</v>
      </c>
      <c r="N90" s="43"/>
      <c r="O90" s="43"/>
      <c r="P90" s="43"/>
      <c r="Q90" s="13">
        <v>18500</v>
      </c>
    </row>
    <row r="92" spans="1:17" x14ac:dyDescent="0.3">
      <c r="A92" s="30" t="s">
        <v>44</v>
      </c>
      <c r="B92" s="30"/>
      <c r="C92" s="30"/>
      <c r="D92" s="30"/>
      <c r="E92" s="30"/>
      <c r="G92" s="30" t="s">
        <v>46</v>
      </c>
      <c r="H92" s="30"/>
      <c r="I92" s="30"/>
      <c r="J92" s="30"/>
      <c r="K92" s="30"/>
      <c r="M92" s="30" t="s">
        <v>48</v>
      </c>
      <c r="N92" s="30"/>
      <c r="O92" s="30"/>
      <c r="P92" s="30"/>
      <c r="Q92" s="30"/>
    </row>
    <row r="93" spans="1:17" x14ac:dyDescent="0.3">
      <c r="A93" s="30"/>
      <c r="B93" s="30"/>
      <c r="C93" s="30"/>
      <c r="D93" s="30"/>
      <c r="E93" s="30"/>
      <c r="G93" s="30"/>
      <c r="H93" s="30"/>
      <c r="I93" s="30"/>
      <c r="J93" s="30"/>
      <c r="K93" s="30"/>
      <c r="M93" s="30"/>
      <c r="N93" s="30"/>
      <c r="O93" s="30"/>
      <c r="P93" s="30"/>
      <c r="Q93" s="30"/>
    </row>
    <row r="94" spans="1:17" ht="20.399999999999999" x14ac:dyDescent="0.3">
      <c r="A94" s="3" t="s">
        <v>7</v>
      </c>
      <c r="B94" s="3" t="s">
        <v>8</v>
      </c>
      <c r="C94" s="3" t="s">
        <v>9</v>
      </c>
      <c r="D94" s="31" t="s">
        <v>10</v>
      </c>
      <c r="E94" s="32"/>
      <c r="G94" s="3" t="s">
        <v>7</v>
      </c>
      <c r="H94" s="3" t="s">
        <v>8</v>
      </c>
      <c r="I94" s="3" t="s">
        <v>9</v>
      </c>
      <c r="J94" s="31" t="s">
        <v>10</v>
      </c>
      <c r="K94" s="32"/>
      <c r="M94" s="3" t="s">
        <v>7</v>
      </c>
      <c r="N94" s="3" t="s">
        <v>8</v>
      </c>
      <c r="O94" s="3" t="s">
        <v>9</v>
      </c>
      <c r="P94" s="31" t="s">
        <v>10</v>
      </c>
      <c r="Q94" s="32"/>
    </row>
    <row r="95" spans="1:17" x14ac:dyDescent="0.3">
      <c r="A95" s="9" t="s">
        <v>16</v>
      </c>
      <c r="B95" s="7">
        <f>960/213</f>
        <v>4.507042253521127</v>
      </c>
      <c r="C95" s="7">
        <v>285</v>
      </c>
      <c r="D95" s="33">
        <f>B95*C95</f>
        <v>1284.5070422535211</v>
      </c>
      <c r="E95" s="34"/>
      <c r="G95" s="9" t="s">
        <v>3</v>
      </c>
      <c r="H95" s="7">
        <f>23.35/531</f>
        <v>4.3973634651600757E-2</v>
      </c>
      <c r="I95" s="7">
        <f>3.01*12000</f>
        <v>36120</v>
      </c>
      <c r="J95" s="33">
        <f>H95*I95</f>
        <v>1588.3276836158193</v>
      </c>
      <c r="K95" s="34"/>
      <c r="M95" s="9" t="s">
        <v>16</v>
      </c>
      <c r="N95" s="7">
        <f>960/213</f>
        <v>4.507042253521127</v>
      </c>
      <c r="O95" s="7">
        <v>285</v>
      </c>
      <c r="P95" s="33">
        <f>N95*O95</f>
        <v>1284.5070422535211</v>
      </c>
      <c r="Q95" s="34"/>
    </row>
    <row r="96" spans="1:17" x14ac:dyDescent="0.3">
      <c r="A96" s="9" t="s">
        <v>3</v>
      </c>
      <c r="B96" s="7">
        <f>6/213</f>
        <v>2.8169014084507043E-2</v>
      </c>
      <c r="C96" s="7">
        <f>3*12000</f>
        <v>36000</v>
      </c>
      <c r="D96" s="33">
        <f t="shared" ref="D96:D107" si="27">B96*C96</f>
        <v>1014.0845070422536</v>
      </c>
      <c r="E96" s="34"/>
      <c r="G96" s="9" t="s">
        <v>4</v>
      </c>
      <c r="H96" s="7">
        <f>23.35/531</f>
        <v>4.3973634651600757E-2</v>
      </c>
      <c r="I96" s="7">
        <f>1.5*12000</f>
        <v>18000</v>
      </c>
      <c r="J96" s="33">
        <f t="shared" ref="J96:J107" si="28">H96*I96</f>
        <v>791.52542372881362</v>
      </c>
      <c r="K96" s="34"/>
      <c r="M96" s="9" t="s">
        <v>3</v>
      </c>
      <c r="N96" s="7">
        <f>6/213</f>
        <v>2.8169014084507043E-2</v>
      </c>
      <c r="O96" s="7">
        <f>3*12000</f>
        <v>36000</v>
      </c>
      <c r="P96" s="33">
        <f t="shared" ref="P96:P107" si="29">N96*O96</f>
        <v>1014.0845070422536</v>
      </c>
      <c r="Q96" s="34"/>
    </row>
    <row r="97" spans="1:17" x14ac:dyDescent="0.3">
      <c r="A97" s="9" t="s">
        <v>4</v>
      </c>
      <c r="B97" s="7">
        <f>6.2/213</f>
        <v>2.9107981220657279E-2</v>
      </c>
      <c r="C97" s="7">
        <f>1.5*12000</f>
        <v>18000</v>
      </c>
      <c r="D97" s="33">
        <f t="shared" si="27"/>
        <v>523.94366197183103</v>
      </c>
      <c r="E97" s="34"/>
      <c r="G97" s="9" t="s">
        <v>13</v>
      </c>
      <c r="H97" s="8">
        <f>(3600/531)+2.31</f>
        <v>9.0896610169491527</v>
      </c>
      <c r="I97" s="7">
        <v>665.12</v>
      </c>
      <c r="J97" s="33">
        <f t="shared" si="28"/>
        <v>6045.7153355932205</v>
      </c>
      <c r="K97" s="34"/>
      <c r="M97" s="9" t="s">
        <v>4</v>
      </c>
      <c r="N97" s="7">
        <f>6.2/213</f>
        <v>2.9107981220657279E-2</v>
      </c>
      <c r="O97" s="7">
        <f>1.5*12000</f>
        <v>18000</v>
      </c>
      <c r="P97" s="33">
        <f t="shared" si="29"/>
        <v>523.94366197183103</v>
      </c>
      <c r="Q97" s="34"/>
    </row>
    <row r="98" spans="1:17" x14ac:dyDescent="0.3">
      <c r="A98" s="9" t="s">
        <v>13</v>
      </c>
      <c r="B98" s="8">
        <f>1680/213</f>
        <v>7.887323943661972</v>
      </c>
      <c r="C98" s="7">
        <v>665.01</v>
      </c>
      <c r="D98" s="33">
        <f t="shared" si="27"/>
        <v>5245.1492957746477</v>
      </c>
      <c r="E98" s="34"/>
      <c r="G98" s="9" t="s">
        <v>14</v>
      </c>
      <c r="H98" s="8">
        <f>(6480/531)</f>
        <v>12.203389830508474</v>
      </c>
      <c r="I98" s="7">
        <v>65.97</v>
      </c>
      <c r="J98" s="33">
        <f t="shared" si="28"/>
        <v>805.05762711864406</v>
      </c>
      <c r="K98" s="34"/>
      <c r="M98" s="9" t="s">
        <v>13</v>
      </c>
      <c r="N98" s="8">
        <f>1680/213</f>
        <v>7.887323943661972</v>
      </c>
      <c r="O98" s="7">
        <v>665.01</v>
      </c>
      <c r="P98" s="33">
        <f t="shared" si="29"/>
        <v>5245.1492957746477</v>
      </c>
      <c r="Q98" s="34"/>
    </row>
    <row r="99" spans="1:17" x14ac:dyDescent="0.3">
      <c r="A99" s="9" t="s">
        <v>14</v>
      </c>
      <c r="B99" s="8">
        <f>(3360/213)-3.23</f>
        <v>12.544647887323944</v>
      </c>
      <c r="C99" s="7">
        <v>65.97</v>
      </c>
      <c r="D99" s="33">
        <f t="shared" si="27"/>
        <v>827.57042112676049</v>
      </c>
      <c r="E99" s="34"/>
      <c r="G99" s="9" t="s">
        <v>15</v>
      </c>
      <c r="H99" s="8">
        <f>1920/531</f>
        <v>3.615819209039548</v>
      </c>
      <c r="I99" s="7">
        <v>295</v>
      </c>
      <c r="J99" s="33">
        <f t="shared" si="28"/>
        <v>1066.6666666666667</v>
      </c>
      <c r="K99" s="34"/>
      <c r="M99" s="9" t="s">
        <v>14</v>
      </c>
      <c r="N99" s="8">
        <f>(3360/213)-3.23</f>
        <v>12.544647887323944</v>
      </c>
      <c r="O99" s="7">
        <v>65.97</v>
      </c>
      <c r="P99" s="33">
        <f t="shared" si="29"/>
        <v>827.57042112676049</v>
      </c>
      <c r="Q99" s="34"/>
    </row>
    <row r="100" spans="1:17" x14ac:dyDescent="0.3">
      <c r="A100" s="1" t="s">
        <v>45</v>
      </c>
      <c r="B100" s="2">
        <v>1</v>
      </c>
      <c r="C100" s="8">
        <f>0.16*12000</f>
        <v>1920</v>
      </c>
      <c r="D100" s="27">
        <f t="shared" si="27"/>
        <v>1920</v>
      </c>
      <c r="E100" s="28"/>
      <c r="G100" s="1" t="s">
        <v>47</v>
      </c>
      <c r="H100" s="2">
        <v>1</v>
      </c>
      <c r="I100" s="8">
        <f>0.15*12000</f>
        <v>1800</v>
      </c>
      <c r="J100" s="27">
        <f t="shared" si="28"/>
        <v>1800</v>
      </c>
      <c r="K100" s="28"/>
      <c r="M100" s="1" t="s">
        <v>49</v>
      </c>
      <c r="N100" s="2">
        <v>1</v>
      </c>
      <c r="O100" s="8">
        <f>0.15*12000</f>
        <v>1800</v>
      </c>
      <c r="P100" s="27">
        <f t="shared" si="29"/>
        <v>1800</v>
      </c>
      <c r="Q100" s="28"/>
    </row>
    <row r="101" spans="1:17" x14ac:dyDescent="0.3">
      <c r="A101" s="1" t="s">
        <v>6</v>
      </c>
      <c r="B101" s="2">
        <v>1</v>
      </c>
      <c r="C101" s="2">
        <v>800</v>
      </c>
      <c r="D101" s="27">
        <f t="shared" si="27"/>
        <v>800</v>
      </c>
      <c r="E101" s="28"/>
      <c r="G101" s="1" t="s">
        <v>6</v>
      </c>
      <c r="H101" s="2">
        <v>1</v>
      </c>
      <c r="I101" s="2">
        <v>800</v>
      </c>
      <c r="J101" s="27">
        <f t="shared" si="28"/>
        <v>800</v>
      </c>
      <c r="K101" s="28"/>
      <c r="M101" s="1" t="s">
        <v>6</v>
      </c>
      <c r="N101" s="2">
        <v>1</v>
      </c>
      <c r="O101" s="2">
        <v>800</v>
      </c>
      <c r="P101" s="27">
        <f t="shared" si="29"/>
        <v>800</v>
      </c>
      <c r="Q101" s="28"/>
    </row>
    <row r="102" spans="1:17" x14ac:dyDescent="0.3">
      <c r="A102" s="1" t="s">
        <v>21</v>
      </c>
      <c r="B102" s="2">
        <v>1</v>
      </c>
      <c r="C102" s="2">
        <v>80</v>
      </c>
      <c r="D102" s="27">
        <f t="shared" si="27"/>
        <v>80</v>
      </c>
      <c r="E102" s="28"/>
      <c r="G102" s="1" t="s">
        <v>21</v>
      </c>
      <c r="H102" s="2">
        <v>1</v>
      </c>
      <c r="I102" s="2">
        <v>80</v>
      </c>
      <c r="J102" s="27">
        <f t="shared" si="28"/>
        <v>80</v>
      </c>
      <c r="K102" s="28"/>
      <c r="M102" s="1" t="s">
        <v>21</v>
      </c>
      <c r="N102" s="2">
        <v>1</v>
      </c>
      <c r="O102" s="2">
        <v>80</v>
      </c>
      <c r="P102" s="27">
        <f t="shared" si="29"/>
        <v>80</v>
      </c>
      <c r="Q102" s="28"/>
    </row>
    <row r="103" spans="1:17" x14ac:dyDescent="0.3">
      <c r="A103" s="1" t="s">
        <v>20</v>
      </c>
      <c r="B103" s="2">
        <v>1</v>
      </c>
      <c r="C103" s="2">
        <v>350</v>
      </c>
      <c r="D103" s="27">
        <f t="shared" si="27"/>
        <v>350</v>
      </c>
      <c r="E103" s="28"/>
      <c r="G103" s="1" t="s">
        <v>20</v>
      </c>
      <c r="H103" s="2">
        <v>1</v>
      </c>
      <c r="I103" s="2">
        <v>350</v>
      </c>
      <c r="J103" s="27">
        <f t="shared" si="28"/>
        <v>350</v>
      </c>
      <c r="K103" s="28"/>
      <c r="M103" s="1" t="s">
        <v>20</v>
      </c>
      <c r="N103" s="2">
        <v>1</v>
      </c>
      <c r="O103" s="2">
        <v>350</v>
      </c>
      <c r="P103" s="27">
        <f t="shared" si="29"/>
        <v>350</v>
      </c>
      <c r="Q103" s="28"/>
    </row>
    <row r="104" spans="1:17" x14ac:dyDescent="0.3">
      <c r="A104" s="1" t="s">
        <v>24</v>
      </c>
      <c r="B104" s="2">
        <v>1</v>
      </c>
      <c r="C104" s="2">
        <v>300</v>
      </c>
      <c r="D104" s="27">
        <f t="shared" si="27"/>
        <v>300</v>
      </c>
      <c r="E104" s="28"/>
      <c r="G104" s="1" t="s">
        <v>24</v>
      </c>
      <c r="H104" s="2">
        <v>1</v>
      </c>
      <c r="I104" s="2">
        <v>300</v>
      </c>
      <c r="J104" s="27">
        <f t="shared" si="28"/>
        <v>300</v>
      </c>
      <c r="K104" s="28"/>
      <c r="M104" s="1" t="s">
        <v>24</v>
      </c>
      <c r="N104" s="2">
        <v>1</v>
      </c>
      <c r="O104" s="2">
        <v>300</v>
      </c>
      <c r="P104" s="27">
        <f t="shared" si="29"/>
        <v>300</v>
      </c>
      <c r="Q104" s="28"/>
    </row>
    <row r="105" spans="1:17" x14ac:dyDescent="0.3">
      <c r="A105" s="1" t="s">
        <v>19</v>
      </c>
      <c r="B105" s="2">
        <v>1</v>
      </c>
      <c r="C105" s="2">
        <v>500</v>
      </c>
      <c r="D105" s="27">
        <f t="shared" si="27"/>
        <v>500</v>
      </c>
      <c r="E105" s="28"/>
      <c r="G105" s="1" t="s">
        <v>19</v>
      </c>
      <c r="H105" s="2">
        <v>1</v>
      </c>
      <c r="I105" s="2">
        <v>1000</v>
      </c>
      <c r="J105" s="27">
        <f t="shared" si="28"/>
        <v>1000</v>
      </c>
      <c r="K105" s="28"/>
      <c r="M105" s="1" t="s">
        <v>19</v>
      </c>
      <c r="N105" s="2">
        <v>1</v>
      </c>
      <c r="O105" s="2">
        <v>500</v>
      </c>
      <c r="P105" s="27">
        <f t="shared" si="29"/>
        <v>500</v>
      </c>
      <c r="Q105" s="28"/>
    </row>
    <row r="106" spans="1:17" x14ac:dyDescent="0.3">
      <c r="A106" s="1" t="s">
        <v>57</v>
      </c>
      <c r="B106" s="15">
        <v>1</v>
      </c>
      <c r="C106" s="15">
        <v>2300</v>
      </c>
      <c r="D106" s="37">
        <f t="shared" si="27"/>
        <v>2300</v>
      </c>
      <c r="E106" s="37"/>
      <c r="G106" s="1" t="s">
        <v>57</v>
      </c>
      <c r="H106" s="15">
        <v>1</v>
      </c>
      <c r="I106" s="15">
        <v>2300</v>
      </c>
      <c r="J106" s="37">
        <f t="shared" si="28"/>
        <v>2300</v>
      </c>
      <c r="K106" s="37"/>
      <c r="M106" s="1" t="s">
        <v>57</v>
      </c>
      <c r="N106" s="15">
        <v>1</v>
      </c>
      <c r="O106" s="15">
        <v>2300</v>
      </c>
      <c r="P106" s="37">
        <f t="shared" si="29"/>
        <v>2300</v>
      </c>
      <c r="Q106" s="37"/>
    </row>
    <row r="107" spans="1:17" x14ac:dyDescent="0.3">
      <c r="A107" s="1" t="s">
        <v>58</v>
      </c>
      <c r="B107" s="15">
        <v>1</v>
      </c>
      <c r="C107" s="15">
        <v>500</v>
      </c>
      <c r="D107" s="37">
        <f t="shared" si="27"/>
        <v>500</v>
      </c>
      <c r="E107" s="37"/>
      <c r="G107" s="1" t="s">
        <v>58</v>
      </c>
      <c r="H107" s="15">
        <v>1</v>
      </c>
      <c r="I107" s="15">
        <v>500</v>
      </c>
      <c r="J107" s="37">
        <f t="shared" si="28"/>
        <v>500</v>
      </c>
      <c r="K107" s="37"/>
      <c r="M107" s="1" t="s">
        <v>58</v>
      </c>
      <c r="N107" s="15">
        <v>1</v>
      </c>
      <c r="O107" s="15">
        <v>500</v>
      </c>
      <c r="P107" s="37">
        <f t="shared" si="29"/>
        <v>500</v>
      </c>
      <c r="Q107" s="37"/>
    </row>
    <row r="108" spans="1:17" x14ac:dyDescent="0.3">
      <c r="A108" s="39" t="s">
        <v>11</v>
      </c>
      <c r="B108" s="40"/>
      <c r="C108" s="41"/>
      <c r="D108" s="44">
        <f>SUM(D95:E107)</f>
        <v>15645.254928169014</v>
      </c>
      <c r="E108" s="45"/>
      <c r="G108" s="39" t="s">
        <v>11</v>
      </c>
      <c r="H108" s="40"/>
      <c r="I108" s="41"/>
      <c r="J108" s="35">
        <f>SUM(J95:K107)</f>
        <v>17427.29273672316</v>
      </c>
      <c r="K108" s="35"/>
      <c r="M108" s="39" t="s">
        <v>11</v>
      </c>
      <c r="N108" s="40"/>
      <c r="O108" s="41"/>
      <c r="P108" s="44">
        <f>SUM(P95:Q107)</f>
        <v>15525.254928169014</v>
      </c>
      <c r="Q108" s="45"/>
    </row>
    <row r="109" spans="1:17" x14ac:dyDescent="0.3">
      <c r="A109" s="43" t="s">
        <v>56</v>
      </c>
      <c r="B109" s="43"/>
      <c r="C109" s="43"/>
      <c r="D109" s="43"/>
      <c r="E109" s="13">
        <v>17500</v>
      </c>
      <c r="G109" s="43" t="s">
        <v>56</v>
      </c>
      <c r="H109" s="43"/>
      <c r="I109" s="43"/>
      <c r="J109" s="43"/>
      <c r="K109" s="13">
        <v>30000</v>
      </c>
      <c r="M109" s="43" t="s">
        <v>56</v>
      </c>
      <c r="N109" s="43"/>
      <c r="O109" s="43"/>
      <c r="P109" s="43"/>
      <c r="Q109" s="13">
        <v>25000</v>
      </c>
    </row>
    <row r="111" spans="1:17" x14ac:dyDescent="0.3">
      <c r="A111" s="30" t="s">
        <v>64</v>
      </c>
      <c r="B111" s="30"/>
      <c r="C111" s="30"/>
      <c r="D111" s="30"/>
      <c r="E111" s="30"/>
      <c r="G111" s="30" t="s">
        <v>61</v>
      </c>
      <c r="H111" s="30"/>
      <c r="I111" s="30"/>
      <c r="J111" s="30"/>
      <c r="K111" s="30"/>
    </row>
    <row r="112" spans="1:17" x14ac:dyDescent="0.3">
      <c r="A112" s="30"/>
      <c r="B112" s="30"/>
      <c r="C112" s="30"/>
      <c r="D112" s="30"/>
      <c r="E112" s="30"/>
      <c r="G112" s="30"/>
      <c r="H112" s="30"/>
      <c r="I112" s="30"/>
      <c r="J112" s="30"/>
      <c r="K112" s="30"/>
    </row>
    <row r="113" spans="1:11" x14ac:dyDescent="0.3">
      <c r="A113" s="3" t="s">
        <v>7</v>
      </c>
      <c r="B113" s="3" t="s">
        <v>8</v>
      </c>
      <c r="C113" s="3" t="s">
        <v>9</v>
      </c>
      <c r="D113" s="31" t="s">
        <v>10</v>
      </c>
      <c r="E113" s="32"/>
      <c r="G113" s="3" t="s">
        <v>7</v>
      </c>
      <c r="H113" s="3" t="s">
        <v>8</v>
      </c>
      <c r="I113" s="3" t="s">
        <v>9</v>
      </c>
      <c r="J113" s="31" t="s">
        <v>10</v>
      </c>
      <c r="K113" s="32"/>
    </row>
    <row r="114" spans="1:11" x14ac:dyDescent="0.3">
      <c r="A114" s="9" t="s">
        <v>0</v>
      </c>
      <c r="B114" s="7">
        <f>4.4/100</f>
        <v>4.4000000000000004E-2</v>
      </c>
      <c r="C114" s="7">
        <f>1.01*12170</f>
        <v>12291.7</v>
      </c>
      <c r="D114" s="33">
        <f>B114*C114</f>
        <v>540.83480000000009</v>
      </c>
      <c r="E114" s="34"/>
      <c r="F114" s="20"/>
      <c r="G114" s="9" t="s">
        <v>3</v>
      </c>
      <c r="H114" s="7">
        <f>6/100</f>
        <v>0.06</v>
      </c>
      <c r="I114" s="7">
        <f>3*12170</f>
        <v>36510</v>
      </c>
      <c r="J114" s="33">
        <f>H114*I114</f>
        <v>2190.6</v>
      </c>
      <c r="K114" s="34"/>
    </row>
    <row r="115" spans="1:11" x14ac:dyDescent="0.3">
      <c r="A115" s="9" t="s">
        <v>1</v>
      </c>
      <c r="B115" s="8">
        <f>1400/100</f>
        <v>14</v>
      </c>
      <c r="C115" s="7">
        <v>457.42</v>
      </c>
      <c r="D115" s="33">
        <f t="shared" ref="D115:D120" si="30">B115*C115</f>
        <v>6403.88</v>
      </c>
      <c r="E115" s="34"/>
      <c r="F115" s="20"/>
      <c r="G115" s="9" t="s">
        <v>4</v>
      </c>
      <c r="H115" s="7">
        <f>4/100</f>
        <v>0.04</v>
      </c>
      <c r="I115" s="7">
        <f>1.5*12170</f>
        <v>18255</v>
      </c>
      <c r="J115" s="33">
        <f t="shared" ref="J115:J117" si="31">H115*I115</f>
        <v>730.2</v>
      </c>
      <c r="K115" s="34"/>
    </row>
    <row r="116" spans="1:11" ht="20.399999999999999" x14ac:dyDescent="0.3">
      <c r="A116" s="9" t="s">
        <v>2</v>
      </c>
      <c r="B116" s="7">
        <f>481.6/100</f>
        <v>4.8159999999999998</v>
      </c>
      <c r="C116" s="7">
        <v>479.28</v>
      </c>
      <c r="D116" s="33">
        <f t="shared" si="30"/>
        <v>2308.2124799999997</v>
      </c>
      <c r="E116" s="34"/>
      <c r="F116" s="20"/>
      <c r="G116" s="9" t="s">
        <v>15</v>
      </c>
      <c r="H116" s="8">
        <f>1400/100</f>
        <v>14</v>
      </c>
      <c r="I116" s="7">
        <v>325.52999999999997</v>
      </c>
      <c r="J116" s="33">
        <f t="shared" si="31"/>
        <v>4557.42</v>
      </c>
      <c r="K116" s="34"/>
    </row>
    <row r="117" spans="1:11" x14ac:dyDescent="0.3">
      <c r="A117" s="9" t="s">
        <v>3</v>
      </c>
      <c r="B117" s="7">
        <f>6/100</f>
        <v>0.06</v>
      </c>
      <c r="C117" s="7">
        <f>3*12170</f>
        <v>36510</v>
      </c>
      <c r="D117" s="33">
        <f t="shared" si="30"/>
        <v>2190.6</v>
      </c>
      <c r="E117" s="34"/>
      <c r="F117" s="20"/>
      <c r="G117" s="9" t="s">
        <v>65</v>
      </c>
      <c r="H117" s="7">
        <f>600/100</f>
        <v>6</v>
      </c>
      <c r="I117" s="7">
        <v>624.98</v>
      </c>
      <c r="J117" s="33">
        <f t="shared" si="31"/>
        <v>3749.88</v>
      </c>
      <c r="K117" s="34"/>
    </row>
    <row r="118" spans="1:11" x14ac:dyDescent="0.3">
      <c r="A118" s="9" t="s">
        <v>4</v>
      </c>
      <c r="B118" s="7">
        <f>4/100</f>
        <v>0.04</v>
      </c>
      <c r="C118" s="7">
        <f>1.5*12170</f>
        <v>18255</v>
      </c>
      <c r="D118" s="33">
        <f t="shared" si="30"/>
        <v>730.2</v>
      </c>
      <c r="E118" s="34"/>
      <c r="F118" s="20"/>
      <c r="G118" s="9" t="s">
        <v>66</v>
      </c>
      <c r="H118" s="8">
        <v>1</v>
      </c>
      <c r="I118" s="7">
        <f>0.15*12170</f>
        <v>1825.5</v>
      </c>
      <c r="J118" s="33">
        <f t="shared" ref="J118" si="32">H118*I118</f>
        <v>1825.5</v>
      </c>
      <c r="K118" s="34"/>
    </row>
    <row r="119" spans="1:11" x14ac:dyDescent="0.3">
      <c r="A119" s="9" t="s">
        <v>25</v>
      </c>
      <c r="B119" s="7">
        <f>4/100</f>
        <v>0.04</v>
      </c>
      <c r="C119" s="7">
        <f>4.88*12170</f>
        <v>59389.599999999999</v>
      </c>
      <c r="D119" s="33">
        <f t="shared" si="30"/>
        <v>2375.5839999999998</v>
      </c>
      <c r="E119" s="34"/>
      <c r="F119" s="20"/>
      <c r="G119" s="1"/>
      <c r="H119" s="2"/>
      <c r="I119" s="8"/>
      <c r="J119" s="27"/>
      <c r="K119" s="28"/>
    </row>
    <row r="120" spans="1:11" x14ac:dyDescent="0.3">
      <c r="A120" s="9" t="s">
        <v>62</v>
      </c>
      <c r="B120" s="7">
        <f>100/100</f>
        <v>1</v>
      </c>
      <c r="C120" s="8">
        <v>3000</v>
      </c>
      <c r="D120" s="33">
        <f t="shared" si="30"/>
        <v>3000</v>
      </c>
      <c r="E120" s="34"/>
      <c r="F120" s="20"/>
      <c r="G120" s="1" t="s">
        <v>6</v>
      </c>
      <c r="H120" s="2">
        <v>1</v>
      </c>
      <c r="I120" s="2">
        <f>20*32</f>
        <v>640</v>
      </c>
      <c r="J120" s="27">
        <f t="shared" ref="J120:J126" si="33">H120*I120</f>
        <v>640</v>
      </c>
      <c r="K120" s="28"/>
    </row>
    <row r="121" spans="1:11" x14ac:dyDescent="0.3">
      <c r="A121" s="1" t="s">
        <v>63</v>
      </c>
      <c r="B121" s="2">
        <v>1</v>
      </c>
      <c r="C121" s="8">
        <f>0.15*12170</f>
        <v>1825.5</v>
      </c>
      <c r="D121" s="33">
        <f t="shared" ref="D121" si="34">B121*C121</f>
        <v>1825.5</v>
      </c>
      <c r="E121" s="34"/>
      <c r="G121" s="1" t="s">
        <v>21</v>
      </c>
      <c r="H121" s="2">
        <v>1</v>
      </c>
      <c r="I121" s="2">
        <v>80</v>
      </c>
      <c r="J121" s="27">
        <f t="shared" si="33"/>
        <v>80</v>
      </c>
      <c r="K121" s="28"/>
    </row>
    <row r="122" spans="1:11" x14ac:dyDescent="0.3">
      <c r="A122" s="1" t="s">
        <v>6</v>
      </c>
      <c r="B122" s="2">
        <v>1</v>
      </c>
      <c r="C122" s="2">
        <f>20*32</f>
        <v>640</v>
      </c>
      <c r="D122" s="27">
        <f t="shared" ref="D122:D128" si="35">B122*C122</f>
        <v>640</v>
      </c>
      <c r="E122" s="28"/>
      <c r="G122" s="1" t="s">
        <v>20</v>
      </c>
      <c r="H122" s="2">
        <v>1</v>
      </c>
      <c r="I122" s="2">
        <v>320</v>
      </c>
      <c r="J122" s="27">
        <f t="shared" si="33"/>
        <v>320</v>
      </c>
      <c r="K122" s="28"/>
    </row>
    <row r="123" spans="1:11" x14ac:dyDescent="0.3">
      <c r="A123" s="1" t="s">
        <v>21</v>
      </c>
      <c r="B123" s="2">
        <v>1</v>
      </c>
      <c r="C123" s="2">
        <v>80</v>
      </c>
      <c r="D123" s="27">
        <f t="shared" si="35"/>
        <v>80</v>
      </c>
      <c r="E123" s="28"/>
      <c r="G123" s="1" t="s">
        <v>24</v>
      </c>
      <c r="H123" s="2">
        <v>1</v>
      </c>
      <c r="I123" s="2">
        <v>300</v>
      </c>
      <c r="J123" s="27">
        <f t="shared" si="33"/>
        <v>300</v>
      </c>
      <c r="K123" s="28"/>
    </row>
    <row r="124" spans="1:11" x14ac:dyDescent="0.3">
      <c r="A124" s="1" t="s">
        <v>20</v>
      </c>
      <c r="B124" s="2">
        <v>1</v>
      </c>
      <c r="C124" s="2">
        <v>350</v>
      </c>
      <c r="D124" s="27">
        <f t="shared" si="35"/>
        <v>350</v>
      </c>
      <c r="E124" s="28"/>
      <c r="G124" s="1" t="s">
        <v>19</v>
      </c>
      <c r="H124" s="2">
        <v>1</v>
      </c>
      <c r="I124" s="2">
        <v>1000</v>
      </c>
      <c r="J124" s="27">
        <f t="shared" si="33"/>
        <v>1000</v>
      </c>
      <c r="K124" s="28"/>
    </row>
    <row r="125" spans="1:11" x14ac:dyDescent="0.3">
      <c r="A125" s="1" t="s">
        <v>24</v>
      </c>
      <c r="B125" s="2">
        <v>1</v>
      </c>
      <c r="C125" s="2">
        <v>300</v>
      </c>
      <c r="D125" s="27">
        <f t="shared" si="35"/>
        <v>300</v>
      </c>
      <c r="E125" s="28"/>
      <c r="G125" s="1" t="s">
        <v>57</v>
      </c>
      <c r="H125" s="15">
        <v>1</v>
      </c>
      <c r="I125" s="15">
        <v>2300</v>
      </c>
      <c r="J125" s="37">
        <f t="shared" si="33"/>
        <v>2300</v>
      </c>
      <c r="K125" s="37"/>
    </row>
    <row r="126" spans="1:11" x14ac:dyDescent="0.3">
      <c r="A126" s="1" t="s">
        <v>19</v>
      </c>
      <c r="B126" s="2">
        <v>1</v>
      </c>
      <c r="C126" s="2">
        <v>500</v>
      </c>
      <c r="D126" s="27">
        <v>1000</v>
      </c>
      <c r="E126" s="28"/>
      <c r="G126" s="1" t="s">
        <v>58</v>
      </c>
      <c r="H126" s="15">
        <v>1</v>
      </c>
      <c r="I126" s="15">
        <v>500</v>
      </c>
      <c r="J126" s="37">
        <f t="shared" si="33"/>
        <v>500</v>
      </c>
      <c r="K126" s="37"/>
    </row>
    <row r="127" spans="1:11" x14ac:dyDescent="0.3">
      <c r="A127" s="1" t="s">
        <v>57</v>
      </c>
      <c r="B127" s="15">
        <v>1</v>
      </c>
      <c r="C127" s="15">
        <v>2300</v>
      </c>
      <c r="D127" s="37">
        <f t="shared" si="35"/>
        <v>2300</v>
      </c>
      <c r="E127" s="37"/>
      <c r="G127" s="39" t="s">
        <v>11</v>
      </c>
      <c r="H127" s="40"/>
      <c r="I127" s="41"/>
      <c r="J127" s="35">
        <f>SUM(J114:K126)</f>
        <v>18193.599999999999</v>
      </c>
      <c r="K127" s="35"/>
    </row>
    <row r="128" spans="1:11" x14ac:dyDescent="0.3">
      <c r="A128" s="1" t="s">
        <v>58</v>
      </c>
      <c r="B128" s="15">
        <v>1</v>
      </c>
      <c r="C128" s="15">
        <v>500</v>
      </c>
      <c r="D128" s="37">
        <f t="shared" si="35"/>
        <v>500</v>
      </c>
      <c r="E128" s="37"/>
      <c r="G128" s="43" t="s">
        <v>56</v>
      </c>
      <c r="H128" s="43"/>
      <c r="I128" s="43"/>
      <c r="J128" s="43"/>
      <c r="K128" s="13">
        <v>29000</v>
      </c>
    </row>
    <row r="129" spans="1:5" x14ac:dyDescent="0.3">
      <c r="A129" s="39" t="s">
        <v>11</v>
      </c>
      <c r="B129" s="40"/>
      <c r="C129" s="41"/>
      <c r="D129" s="44">
        <f>SUM(D114:E128)</f>
        <v>24544.811280000002</v>
      </c>
      <c r="E129" s="45"/>
    </row>
    <row r="130" spans="1:5" x14ac:dyDescent="0.3">
      <c r="A130" s="43" t="s">
        <v>56</v>
      </c>
      <c r="B130" s="43"/>
      <c r="C130" s="43"/>
      <c r="D130" s="43"/>
      <c r="E130" s="13">
        <v>35000</v>
      </c>
    </row>
  </sheetData>
  <mergeCells count="398">
    <mergeCell ref="A129:C129"/>
    <mergeCell ref="D129:E129"/>
    <mergeCell ref="A130:D130"/>
    <mergeCell ref="D119:E119"/>
    <mergeCell ref="D120:E120"/>
    <mergeCell ref="G111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G127:I127"/>
    <mergeCell ref="J127:K127"/>
    <mergeCell ref="G128:J128"/>
    <mergeCell ref="D118:E118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A109:D109"/>
    <mergeCell ref="D113:E113"/>
    <mergeCell ref="D114:E114"/>
    <mergeCell ref="D115:E115"/>
    <mergeCell ref="D116:E116"/>
    <mergeCell ref="D117:E117"/>
    <mergeCell ref="D105:E105"/>
    <mergeCell ref="J105:K105"/>
    <mergeCell ref="P105:Q105"/>
    <mergeCell ref="D106:E106"/>
    <mergeCell ref="J106:K106"/>
    <mergeCell ref="P106:Q106"/>
    <mergeCell ref="G109:J109"/>
    <mergeCell ref="M109:P109"/>
    <mergeCell ref="A111:E112"/>
    <mergeCell ref="D107:E107"/>
    <mergeCell ref="J107:K107"/>
    <mergeCell ref="P107:Q107"/>
    <mergeCell ref="A108:C108"/>
    <mergeCell ref="D108:E108"/>
    <mergeCell ref="G108:I108"/>
    <mergeCell ref="J108:K108"/>
    <mergeCell ref="M108:O108"/>
    <mergeCell ref="P108:Q108"/>
    <mergeCell ref="D102:E102"/>
    <mergeCell ref="J102:K102"/>
    <mergeCell ref="P102:Q102"/>
    <mergeCell ref="D103:E103"/>
    <mergeCell ref="J103:K103"/>
    <mergeCell ref="P103:Q103"/>
    <mergeCell ref="D104:E104"/>
    <mergeCell ref="J104:K104"/>
    <mergeCell ref="P104:Q104"/>
    <mergeCell ref="D99:E99"/>
    <mergeCell ref="J99:K99"/>
    <mergeCell ref="P99:Q99"/>
    <mergeCell ref="D100:E100"/>
    <mergeCell ref="J100:K100"/>
    <mergeCell ref="P100:Q100"/>
    <mergeCell ref="D101:E101"/>
    <mergeCell ref="J101:K101"/>
    <mergeCell ref="P101:Q101"/>
    <mergeCell ref="D96:E96"/>
    <mergeCell ref="J96:K96"/>
    <mergeCell ref="P96:Q96"/>
    <mergeCell ref="D97:E97"/>
    <mergeCell ref="J97:K97"/>
    <mergeCell ref="P97:Q97"/>
    <mergeCell ref="D98:E98"/>
    <mergeCell ref="J98:K98"/>
    <mergeCell ref="P98:Q98"/>
    <mergeCell ref="M90:P90"/>
    <mergeCell ref="A92:E93"/>
    <mergeCell ref="G92:K93"/>
    <mergeCell ref="M92:Q93"/>
    <mergeCell ref="D94:E94"/>
    <mergeCell ref="J94:K94"/>
    <mergeCell ref="P94:Q94"/>
    <mergeCell ref="D95:E95"/>
    <mergeCell ref="J95:K95"/>
    <mergeCell ref="P95:Q95"/>
    <mergeCell ref="A90:D90"/>
    <mergeCell ref="P86:Q86"/>
    <mergeCell ref="J85:K85"/>
    <mergeCell ref="J75:K75"/>
    <mergeCell ref="J76:K76"/>
    <mergeCell ref="J77:K77"/>
    <mergeCell ref="J78:K78"/>
    <mergeCell ref="P87:Q87"/>
    <mergeCell ref="P88:Q88"/>
    <mergeCell ref="M89:O89"/>
    <mergeCell ref="P89:Q89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D57:E57"/>
    <mergeCell ref="D58:E58"/>
    <mergeCell ref="D59:E59"/>
    <mergeCell ref="J43:K43"/>
    <mergeCell ref="J44:K44"/>
    <mergeCell ref="P54:Q54"/>
    <mergeCell ref="P55:Q55"/>
    <mergeCell ref="P56:Q56"/>
    <mergeCell ref="P57:Q57"/>
    <mergeCell ref="P58:Q58"/>
    <mergeCell ref="M50:Q51"/>
    <mergeCell ref="P52:Q52"/>
    <mergeCell ref="P64:Q64"/>
    <mergeCell ref="P65:Q65"/>
    <mergeCell ref="V64:W64"/>
    <mergeCell ref="V65:W65"/>
    <mergeCell ref="V59:W59"/>
    <mergeCell ref="V60:W60"/>
    <mergeCell ref="V61:W61"/>
    <mergeCell ref="V62:W62"/>
    <mergeCell ref="V63:W63"/>
    <mergeCell ref="J41:K41"/>
    <mergeCell ref="J36:K36"/>
    <mergeCell ref="J37:K37"/>
    <mergeCell ref="J38:K38"/>
    <mergeCell ref="J39:K39"/>
    <mergeCell ref="J40:K40"/>
    <mergeCell ref="M67:P67"/>
    <mergeCell ref="M66:O66"/>
    <mergeCell ref="J52:K52"/>
    <mergeCell ref="J53:K53"/>
    <mergeCell ref="J54:K54"/>
    <mergeCell ref="J55:K55"/>
    <mergeCell ref="J57:K57"/>
    <mergeCell ref="G45:J45"/>
    <mergeCell ref="J63:K63"/>
    <mergeCell ref="J56:K56"/>
    <mergeCell ref="J58:K58"/>
    <mergeCell ref="J59:K59"/>
    <mergeCell ref="J60:K60"/>
    <mergeCell ref="J61:K61"/>
    <mergeCell ref="J62:K62"/>
    <mergeCell ref="G50:K51"/>
    <mergeCell ref="A49:G49"/>
    <mergeCell ref="D64:E64"/>
    <mergeCell ref="D60:E60"/>
    <mergeCell ref="D61:E61"/>
    <mergeCell ref="D62:E62"/>
    <mergeCell ref="D63:E63"/>
    <mergeCell ref="J80:K80"/>
    <mergeCell ref="J81:K81"/>
    <mergeCell ref="D77:E77"/>
    <mergeCell ref="D78:E78"/>
    <mergeCell ref="J66:K66"/>
    <mergeCell ref="D66:E66"/>
    <mergeCell ref="D65:E65"/>
    <mergeCell ref="J64:K64"/>
    <mergeCell ref="J65:K65"/>
    <mergeCell ref="D85:E85"/>
    <mergeCell ref="D86:E86"/>
    <mergeCell ref="A89:C89"/>
    <mergeCell ref="D89:E89"/>
    <mergeCell ref="D87:E87"/>
    <mergeCell ref="D88:E88"/>
    <mergeCell ref="J84:K84"/>
    <mergeCell ref="D82:E82"/>
    <mergeCell ref="D80:E80"/>
    <mergeCell ref="D81:E81"/>
    <mergeCell ref="D84:E84"/>
    <mergeCell ref="G86:I86"/>
    <mergeCell ref="J86:K86"/>
    <mergeCell ref="G87:J87"/>
    <mergeCell ref="D83:E83"/>
    <mergeCell ref="J82:K82"/>
    <mergeCell ref="J83:K83"/>
    <mergeCell ref="J42:K42"/>
    <mergeCell ref="J31:K31"/>
    <mergeCell ref="J32:K32"/>
    <mergeCell ref="J33:K33"/>
    <mergeCell ref="J34:K34"/>
    <mergeCell ref="J29:K29"/>
    <mergeCell ref="J30:K30"/>
    <mergeCell ref="J35:K35"/>
    <mergeCell ref="S67:V67"/>
    <mergeCell ref="S66:U66"/>
    <mergeCell ref="V66:W66"/>
    <mergeCell ref="V53:W53"/>
    <mergeCell ref="V54:W54"/>
    <mergeCell ref="V55:W55"/>
    <mergeCell ref="V56:W56"/>
    <mergeCell ref="V57:W57"/>
    <mergeCell ref="V58:W58"/>
    <mergeCell ref="P59:Q59"/>
    <mergeCell ref="P60:Q60"/>
    <mergeCell ref="P61:Q61"/>
    <mergeCell ref="P62:Q62"/>
    <mergeCell ref="P63:Q63"/>
    <mergeCell ref="P66:Q66"/>
    <mergeCell ref="P53:Q53"/>
    <mergeCell ref="Y67:AB67"/>
    <mergeCell ref="AE67:AH67"/>
    <mergeCell ref="G71:K72"/>
    <mergeCell ref="J73:K73"/>
    <mergeCell ref="J74:K74"/>
    <mergeCell ref="J79:K79"/>
    <mergeCell ref="A71:E72"/>
    <mergeCell ref="D73:E73"/>
    <mergeCell ref="D74:E74"/>
    <mergeCell ref="D75:E75"/>
    <mergeCell ref="D76:E76"/>
    <mergeCell ref="D79:E79"/>
    <mergeCell ref="G68:I68"/>
    <mergeCell ref="J68:K68"/>
    <mergeCell ref="A68:C68"/>
    <mergeCell ref="D68:E68"/>
    <mergeCell ref="D67:E67"/>
    <mergeCell ref="G69:J69"/>
    <mergeCell ref="M71:Q72"/>
    <mergeCell ref="P73:Q73"/>
    <mergeCell ref="P74:Q74"/>
    <mergeCell ref="P75:Q75"/>
    <mergeCell ref="P76:Q76"/>
    <mergeCell ref="J67:K67"/>
    <mergeCell ref="AH59:AI59"/>
    <mergeCell ref="AH60:AI60"/>
    <mergeCell ref="AH61:AI61"/>
    <mergeCell ref="AH62:AI62"/>
    <mergeCell ref="AH63:AI63"/>
    <mergeCell ref="AB63:AC63"/>
    <mergeCell ref="Y66:AA66"/>
    <mergeCell ref="AB66:AC66"/>
    <mergeCell ref="AB59:AC59"/>
    <mergeCell ref="AB60:AC60"/>
    <mergeCell ref="AB61:AC61"/>
    <mergeCell ref="AB62:AC62"/>
    <mergeCell ref="AB64:AC64"/>
    <mergeCell ref="AB65:AC65"/>
    <mergeCell ref="AH64:AI64"/>
    <mergeCell ref="AH65:AI65"/>
    <mergeCell ref="AE66:AG66"/>
    <mergeCell ref="AH66:AI66"/>
    <mergeCell ref="AE50:AI51"/>
    <mergeCell ref="AH52:AI52"/>
    <mergeCell ref="AH53:AI53"/>
    <mergeCell ref="AH54:AI54"/>
    <mergeCell ref="AH55:AI55"/>
    <mergeCell ref="AH56:AI56"/>
    <mergeCell ref="AH57:AI57"/>
    <mergeCell ref="AB57:AC57"/>
    <mergeCell ref="AB58:AC58"/>
    <mergeCell ref="Y50:AC51"/>
    <mergeCell ref="AB52:AC52"/>
    <mergeCell ref="AB53:AC53"/>
    <mergeCell ref="AB54:AC54"/>
    <mergeCell ref="AB55:AC55"/>
    <mergeCell ref="AB56:AC56"/>
    <mergeCell ref="AH58:AI58"/>
    <mergeCell ref="S50:W51"/>
    <mergeCell ref="V52:W52"/>
    <mergeCell ref="M45:P45"/>
    <mergeCell ref="S45:V45"/>
    <mergeCell ref="P42:Q42"/>
    <mergeCell ref="P43:Q43"/>
    <mergeCell ref="V43:W43"/>
    <mergeCell ref="V37:W37"/>
    <mergeCell ref="V38:W38"/>
    <mergeCell ref="V39:W39"/>
    <mergeCell ref="P41:Q41"/>
    <mergeCell ref="M44:O44"/>
    <mergeCell ref="P44:Q44"/>
    <mergeCell ref="P37:Q37"/>
    <mergeCell ref="P38:Q38"/>
    <mergeCell ref="P39:Q39"/>
    <mergeCell ref="P40:Q40"/>
    <mergeCell ref="V42:W42"/>
    <mergeCell ref="V40:W40"/>
    <mergeCell ref="V41:W41"/>
    <mergeCell ref="S44:U44"/>
    <mergeCell ref="V44:W44"/>
    <mergeCell ref="S26:W27"/>
    <mergeCell ref="V28:W28"/>
    <mergeCell ref="V29:W29"/>
    <mergeCell ref="V30:W30"/>
    <mergeCell ref="V31:W31"/>
    <mergeCell ref="V32:W32"/>
    <mergeCell ref="V33:W33"/>
    <mergeCell ref="P35:Q35"/>
    <mergeCell ref="P36:Q36"/>
    <mergeCell ref="P29:Q29"/>
    <mergeCell ref="P30:Q30"/>
    <mergeCell ref="P31:Q31"/>
    <mergeCell ref="P32:Q32"/>
    <mergeCell ref="P33:Q33"/>
    <mergeCell ref="P34:Q34"/>
    <mergeCell ref="V34:W34"/>
    <mergeCell ref="V35:W35"/>
    <mergeCell ref="V36:W36"/>
    <mergeCell ref="P18:Q18"/>
    <mergeCell ref="P19:Q19"/>
    <mergeCell ref="M22:O22"/>
    <mergeCell ref="P22:Q22"/>
    <mergeCell ref="G26:K27"/>
    <mergeCell ref="J28:K28"/>
    <mergeCell ref="M26:Q27"/>
    <mergeCell ref="P28:Q28"/>
    <mergeCell ref="P15:Q15"/>
    <mergeCell ref="P16:Q16"/>
    <mergeCell ref="P17:Q17"/>
    <mergeCell ref="J18:K18"/>
    <mergeCell ref="J19:K19"/>
    <mergeCell ref="G22:I22"/>
    <mergeCell ref="J22:K22"/>
    <mergeCell ref="J15:K15"/>
    <mergeCell ref="J16:K16"/>
    <mergeCell ref="J17:K17"/>
    <mergeCell ref="P20:Q20"/>
    <mergeCell ref="P21:Q21"/>
    <mergeCell ref="J20:K20"/>
    <mergeCell ref="J21:K21"/>
    <mergeCell ref="M5:Q6"/>
    <mergeCell ref="P7:Q7"/>
    <mergeCell ref="P8:Q8"/>
    <mergeCell ref="P9:Q9"/>
    <mergeCell ref="P10:Q10"/>
    <mergeCell ref="P11:Q11"/>
    <mergeCell ref="J12:K12"/>
    <mergeCell ref="J13:K13"/>
    <mergeCell ref="J14:K14"/>
    <mergeCell ref="P12:Q12"/>
    <mergeCell ref="P13:Q13"/>
    <mergeCell ref="P14:Q14"/>
    <mergeCell ref="G5:K6"/>
    <mergeCell ref="J7:K7"/>
    <mergeCell ref="J8:K8"/>
    <mergeCell ref="J9:K9"/>
    <mergeCell ref="J10:K10"/>
    <mergeCell ref="J11:K11"/>
    <mergeCell ref="A5:E6"/>
    <mergeCell ref="D7:E7"/>
    <mergeCell ref="D8:E8"/>
    <mergeCell ref="D9:E9"/>
    <mergeCell ref="D10:E10"/>
    <mergeCell ref="D11:E11"/>
    <mergeCell ref="D29:E29"/>
    <mergeCell ref="D30:E30"/>
    <mergeCell ref="D31:E31"/>
    <mergeCell ref="D19:E19"/>
    <mergeCell ref="D24:E24"/>
    <mergeCell ref="D18:E18"/>
    <mergeCell ref="A26:E27"/>
    <mergeCell ref="D28:E28"/>
    <mergeCell ref="A24:C24"/>
    <mergeCell ref="D20:E20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32:E32"/>
    <mergeCell ref="D33:E33"/>
    <mergeCell ref="A50:E51"/>
    <mergeCell ref="D52:E52"/>
    <mergeCell ref="D53:E53"/>
    <mergeCell ref="D54:E54"/>
    <mergeCell ref="D55:E55"/>
    <mergeCell ref="D56:E56"/>
    <mergeCell ref="D47:E47"/>
    <mergeCell ref="D34:E34"/>
    <mergeCell ref="D35:E35"/>
    <mergeCell ref="D36:E36"/>
    <mergeCell ref="A47:C47"/>
    <mergeCell ref="D37:E37"/>
    <mergeCell ref="D38:E38"/>
    <mergeCell ref="D39:E39"/>
    <mergeCell ref="D40:E40"/>
    <mergeCell ref="D41:E41"/>
    <mergeCell ref="D42:E42"/>
    <mergeCell ref="D45:E45"/>
    <mergeCell ref="D46:E46"/>
    <mergeCell ref="D43:E43"/>
    <mergeCell ref="D44:E44"/>
  </mergeCells>
  <pageMargins left="0.19685039370078741" right="0" top="0" bottom="0" header="0.39370078740157483" footer="0.39370078740157483"/>
  <pageSetup paperSize="9" scale="32" orientation="portrait" r:id="rId1"/>
  <ignoredErrors>
    <ignoredError sqref="H30:H35 N30:N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6989-B009-4810-9E98-8147CAD39A60}">
  <dimension ref="A1:K20"/>
  <sheetViews>
    <sheetView view="pageBreakPreview" zoomScale="60" zoomScaleNormal="100" workbookViewId="0">
      <selection activeCell="G1" sqref="G1:K17"/>
    </sheetView>
  </sheetViews>
  <sheetFormatPr defaultRowHeight="14.4" x14ac:dyDescent="0.3"/>
  <cols>
    <col min="1" max="1" width="34.88671875" bestFit="1" customWidth="1"/>
    <col min="3" max="3" width="15.88671875" customWidth="1"/>
    <col min="7" max="7" width="16.33203125" bestFit="1" customWidth="1"/>
    <col min="8" max="8" width="12.33203125" customWidth="1"/>
    <col min="9" max="9" width="12.6640625" customWidth="1"/>
    <col min="10" max="10" width="11.44140625" customWidth="1"/>
    <col min="11" max="11" width="12.33203125" customWidth="1"/>
  </cols>
  <sheetData>
    <row r="1" spans="1:11" x14ac:dyDescent="0.3">
      <c r="A1" s="30" t="s">
        <v>64</v>
      </c>
      <c r="B1" s="30"/>
      <c r="C1" s="30"/>
      <c r="D1" s="30"/>
      <c r="E1" s="30"/>
      <c r="G1" s="30" t="s">
        <v>61</v>
      </c>
      <c r="H1" s="30"/>
      <c r="I1" s="30"/>
      <c r="J1" s="30"/>
      <c r="K1" s="30"/>
    </row>
    <row r="2" spans="1:11" x14ac:dyDescent="0.3">
      <c r="A2" s="30"/>
      <c r="B2" s="30"/>
      <c r="C2" s="30"/>
      <c r="D2" s="30"/>
      <c r="E2" s="30"/>
      <c r="G2" s="30"/>
      <c r="H2" s="30"/>
      <c r="I2" s="30"/>
      <c r="J2" s="30"/>
      <c r="K2" s="30"/>
    </row>
    <row r="3" spans="1:11" x14ac:dyDescent="0.3">
      <c r="A3" s="21" t="s">
        <v>7</v>
      </c>
      <c r="B3" s="21" t="s">
        <v>8</v>
      </c>
      <c r="C3" s="21" t="s">
        <v>9</v>
      </c>
      <c r="D3" s="48" t="s">
        <v>10</v>
      </c>
      <c r="E3" s="49"/>
      <c r="G3" s="21" t="s">
        <v>7</v>
      </c>
      <c r="H3" s="21" t="s">
        <v>8</v>
      </c>
      <c r="I3" s="21" t="s">
        <v>9</v>
      </c>
      <c r="J3" s="48" t="s">
        <v>10</v>
      </c>
      <c r="K3" s="49"/>
    </row>
    <row r="4" spans="1:11" x14ac:dyDescent="0.3">
      <c r="A4" s="22" t="s">
        <v>0</v>
      </c>
      <c r="B4" s="7">
        <f>4.4/100</f>
        <v>4.4000000000000004E-2</v>
      </c>
      <c r="C4" s="7">
        <f>1.01*12170</f>
        <v>12291.7</v>
      </c>
      <c r="D4" s="33">
        <f>B4*C4</f>
        <v>540.83480000000009</v>
      </c>
      <c r="E4" s="34"/>
      <c r="G4" s="22" t="s">
        <v>3</v>
      </c>
      <c r="H4" s="7">
        <f>6/100</f>
        <v>0.06</v>
      </c>
      <c r="I4" s="7">
        <f>3*12170</f>
        <v>36510</v>
      </c>
      <c r="J4" s="33">
        <f>H4*I4</f>
        <v>2190.6</v>
      </c>
      <c r="K4" s="34"/>
    </row>
    <row r="5" spans="1:11" x14ac:dyDescent="0.3">
      <c r="A5" s="22" t="s">
        <v>1</v>
      </c>
      <c r="B5" s="8">
        <f>1400/100</f>
        <v>14</v>
      </c>
      <c r="C5" s="7">
        <v>457.42</v>
      </c>
      <c r="D5" s="33">
        <f t="shared" ref="D5:D18" si="0">B5*C5</f>
        <v>6403.88</v>
      </c>
      <c r="E5" s="34"/>
      <c r="G5" s="22" t="s">
        <v>4</v>
      </c>
      <c r="H5" s="7">
        <f>4/100</f>
        <v>0.04</v>
      </c>
      <c r="I5" s="7">
        <f>1.5*12170</f>
        <v>18255</v>
      </c>
      <c r="J5" s="33">
        <f t="shared" ref="J5:J8" si="1">H5*I5</f>
        <v>730.2</v>
      </c>
      <c r="K5" s="34"/>
    </row>
    <row r="6" spans="1:11" x14ac:dyDescent="0.3">
      <c r="A6" s="22" t="s">
        <v>2</v>
      </c>
      <c r="B6" s="7">
        <f>481.6/100</f>
        <v>4.8159999999999998</v>
      </c>
      <c r="C6" s="7">
        <v>479.28</v>
      </c>
      <c r="D6" s="33">
        <f t="shared" si="0"/>
        <v>2308.2124799999997</v>
      </c>
      <c r="E6" s="34"/>
      <c r="G6" s="22" t="s">
        <v>15</v>
      </c>
      <c r="H6" s="8">
        <f>1400/100</f>
        <v>14</v>
      </c>
      <c r="I6" s="7">
        <v>325.52999999999997</v>
      </c>
      <c r="J6" s="33">
        <f t="shared" si="1"/>
        <v>4557.42</v>
      </c>
      <c r="K6" s="34"/>
    </row>
    <row r="7" spans="1:11" x14ac:dyDescent="0.3">
      <c r="A7" s="22" t="s">
        <v>3</v>
      </c>
      <c r="B7" s="7">
        <f>6/100</f>
        <v>0.06</v>
      </c>
      <c r="C7" s="7">
        <f>3*12170</f>
        <v>36510</v>
      </c>
      <c r="D7" s="33">
        <f t="shared" si="0"/>
        <v>2190.6</v>
      </c>
      <c r="E7" s="34"/>
      <c r="G7" s="22" t="s">
        <v>65</v>
      </c>
      <c r="H7" s="7">
        <f>600/100</f>
        <v>6</v>
      </c>
      <c r="I7" s="7">
        <v>624.98</v>
      </c>
      <c r="J7" s="33">
        <f t="shared" si="1"/>
        <v>3749.88</v>
      </c>
      <c r="K7" s="34"/>
    </row>
    <row r="8" spans="1:11" x14ac:dyDescent="0.3">
      <c r="A8" s="22" t="s">
        <v>4</v>
      </c>
      <c r="B8" s="7">
        <f>4/100</f>
        <v>0.04</v>
      </c>
      <c r="C8" s="7">
        <f>1.5*12170</f>
        <v>18255</v>
      </c>
      <c r="D8" s="33">
        <f t="shared" si="0"/>
        <v>730.2</v>
      </c>
      <c r="E8" s="34"/>
      <c r="G8" s="22" t="s">
        <v>66</v>
      </c>
      <c r="H8" s="8">
        <v>1</v>
      </c>
      <c r="I8" s="7">
        <f>0.15*12170</f>
        <v>1825.5</v>
      </c>
      <c r="J8" s="33">
        <f t="shared" si="1"/>
        <v>1825.5</v>
      </c>
      <c r="K8" s="34"/>
    </row>
    <row r="9" spans="1:11" x14ac:dyDescent="0.3">
      <c r="A9" s="22" t="s">
        <v>25</v>
      </c>
      <c r="B9" s="7">
        <f>4/100</f>
        <v>0.04</v>
      </c>
      <c r="C9" s="7">
        <f>4.88*12170</f>
        <v>59389.599999999999</v>
      </c>
      <c r="D9" s="33">
        <f t="shared" si="0"/>
        <v>2375.5839999999998</v>
      </c>
      <c r="E9" s="34"/>
      <c r="G9" s="1" t="s">
        <v>6</v>
      </c>
      <c r="H9" s="2">
        <v>1</v>
      </c>
      <c r="I9" s="2">
        <v>800</v>
      </c>
      <c r="J9" s="33">
        <f t="shared" ref="J9:J15" si="2">H9*I9</f>
        <v>800</v>
      </c>
      <c r="K9" s="34"/>
    </row>
    <row r="10" spans="1:11" x14ac:dyDescent="0.3">
      <c r="A10" s="22" t="s">
        <v>62</v>
      </c>
      <c r="B10" s="7">
        <f>100/100</f>
        <v>1</v>
      </c>
      <c r="C10" s="8">
        <v>3000</v>
      </c>
      <c r="D10" s="33">
        <f t="shared" si="0"/>
        <v>3000</v>
      </c>
      <c r="E10" s="34"/>
      <c r="G10" s="1" t="s">
        <v>21</v>
      </c>
      <c r="H10" s="2">
        <v>1</v>
      </c>
      <c r="I10" s="2">
        <v>80</v>
      </c>
      <c r="J10" s="33">
        <f t="shared" si="2"/>
        <v>80</v>
      </c>
      <c r="K10" s="34"/>
    </row>
    <row r="11" spans="1:11" x14ac:dyDescent="0.3">
      <c r="A11" s="1" t="s">
        <v>63</v>
      </c>
      <c r="B11" s="2">
        <v>1</v>
      </c>
      <c r="C11" s="8">
        <f>0.15*12170</f>
        <v>1825.5</v>
      </c>
      <c r="D11" s="33">
        <f t="shared" si="0"/>
        <v>1825.5</v>
      </c>
      <c r="E11" s="34"/>
      <c r="G11" s="1" t="s">
        <v>20</v>
      </c>
      <c r="H11" s="2">
        <v>1</v>
      </c>
      <c r="I11" s="2">
        <v>320</v>
      </c>
      <c r="J11" s="33">
        <f t="shared" si="2"/>
        <v>320</v>
      </c>
      <c r="K11" s="34"/>
    </row>
    <row r="12" spans="1:11" x14ac:dyDescent="0.3">
      <c r="A12" s="1" t="s">
        <v>6</v>
      </c>
      <c r="B12" s="2">
        <v>1</v>
      </c>
      <c r="C12" s="2">
        <v>800</v>
      </c>
      <c r="D12" s="27">
        <f t="shared" si="0"/>
        <v>800</v>
      </c>
      <c r="E12" s="28"/>
      <c r="G12" s="1" t="s">
        <v>24</v>
      </c>
      <c r="H12" s="2">
        <v>1</v>
      </c>
      <c r="I12" s="2">
        <v>300</v>
      </c>
      <c r="J12" s="33">
        <f t="shared" si="2"/>
        <v>300</v>
      </c>
      <c r="K12" s="34"/>
    </row>
    <row r="13" spans="1:11" x14ac:dyDescent="0.3">
      <c r="A13" s="1" t="s">
        <v>21</v>
      </c>
      <c r="B13" s="2">
        <v>1</v>
      </c>
      <c r="C13" s="2">
        <v>80</v>
      </c>
      <c r="D13" s="27">
        <f t="shared" si="0"/>
        <v>80</v>
      </c>
      <c r="E13" s="28"/>
      <c r="G13" s="1" t="s">
        <v>19</v>
      </c>
      <c r="H13" s="2">
        <v>1</v>
      </c>
      <c r="I13" s="2">
        <v>1000</v>
      </c>
      <c r="J13" s="33">
        <f t="shared" si="2"/>
        <v>1000</v>
      </c>
      <c r="K13" s="34"/>
    </row>
    <row r="14" spans="1:11" x14ac:dyDescent="0.3">
      <c r="A14" s="1" t="s">
        <v>20</v>
      </c>
      <c r="B14" s="2">
        <v>1</v>
      </c>
      <c r="C14" s="2">
        <v>320</v>
      </c>
      <c r="D14" s="27">
        <f t="shared" si="0"/>
        <v>320</v>
      </c>
      <c r="E14" s="28"/>
      <c r="G14" s="1" t="s">
        <v>57</v>
      </c>
      <c r="H14" s="15">
        <v>1</v>
      </c>
      <c r="I14" s="15">
        <v>2300</v>
      </c>
      <c r="J14" s="33">
        <f t="shared" si="2"/>
        <v>2300</v>
      </c>
      <c r="K14" s="34"/>
    </row>
    <row r="15" spans="1:11" x14ac:dyDescent="0.3">
      <c r="A15" s="1" t="s">
        <v>24</v>
      </c>
      <c r="B15" s="2">
        <v>1</v>
      </c>
      <c r="C15" s="2">
        <v>300</v>
      </c>
      <c r="D15" s="27">
        <f t="shared" si="0"/>
        <v>300</v>
      </c>
      <c r="E15" s="28"/>
      <c r="G15" s="1" t="s">
        <v>58</v>
      </c>
      <c r="H15" s="15">
        <v>1</v>
      </c>
      <c r="I15" s="15">
        <v>500</v>
      </c>
      <c r="J15" s="33">
        <f t="shared" si="2"/>
        <v>500</v>
      </c>
      <c r="K15" s="34"/>
    </row>
    <row r="16" spans="1:11" x14ac:dyDescent="0.3">
      <c r="A16" s="1" t="s">
        <v>19</v>
      </c>
      <c r="B16" s="2">
        <v>1</v>
      </c>
      <c r="C16" s="2">
        <v>500</v>
      </c>
      <c r="D16" s="27">
        <v>1000</v>
      </c>
      <c r="E16" s="28"/>
      <c r="G16" s="10" t="s">
        <v>11</v>
      </c>
      <c r="H16" s="11"/>
      <c r="I16" s="12"/>
      <c r="J16" s="44">
        <f>SUM(J4:K15)</f>
        <v>18353.599999999999</v>
      </c>
      <c r="K16" s="45"/>
    </row>
    <row r="17" spans="1:11" x14ac:dyDescent="0.3">
      <c r="A17" s="1" t="s">
        <v>57</v>
      </c>
      <c r="B17" s="15">
        <v>1</v>
      </c>
      <c r="C17" s="15">
        <v>2300</v>
      </c>
      <c r="D17" s="37">
        <f t="shared" si="0"/>
        <v>2300</v>
      </c>
      <c r="E17" s="37"/>
      <c r="G17" s="50" t="s">
        <v>56</v>
      </c>
      <c r="H17" s="50"/>
      <c r="I17" s="50"/>
      <c r="J17" s="50"/>
      <c r="K17" s="23">
        <v>29000</v>
      </c>
    </row>
    <row r="18" spans="1:11" x14ac:dyDescent="0.3">
      <c r="A18" s="1" t="s">
        <v>58</v>
      </c>
      <c r="B18" s="15">
        <v>1</v>
      </c>
      <c r="C18" s="15">
        <v>500</v>
      </c>
      <c r="D18" s="37">
        <f t="shared" si="0"/>
        <v>500</v>
      </c>
      <c r="E18" s="37"/>
    </row>
    <row r="19" spans="1:11" x14ac:dyDescent="0.3">
      <c r="A19" s="39" t="s">
        <v>11</v>
      </c>
      <c r="B19" s="40"/>
      <c r="C19" s="41"/>
      <c r="D19" s="44">
        <f>SUM(D4:E18)</f>
        <v>24674.811280000002</v>
      </c>
      <c r="E19" s="45"/>
    </row>
    <row r="20" spans="1:11" x14ac:dyDescent="0.3">
      <c r="A20" s="50" t="s">
        <v>56</v>
      </c>
      <c r="B20" s="50"/>
      <c r="C20" s="50"/>
      <c r="D20" s="50"/>
      <c r="E20" s="23">
        <v>35000</v>
      </c>
    </row>
  </sheetData>
  <mergeCells count="36">
    <mergeCell ref="G17:J17"/>
    <mergeCell ref="J11:K11"/>
    <mergeCell ref="J12:K12"/>
    <mergeCell ref="J13:K13"/>
    <mergeCell ref="J14:K14"/>
    <mergeCell ref="J15:K15"/>
    <mergeCell ref="J16:K16"/>
    <mergeCell ref="A20:D20"/>
    <mergeCell ref="G1:K2"/>
    <mergeCell ref="J3:K3"/>
    <mergeCell ref="J4:K4"/>
    <mergeCell ref="J5:K5"/>
    <mergeCell ref="J6:K6"/>
    <mergeCell ref="J7:K7"/>
    <mergeCell ref="J8:K8"/>
    <mergeCell ref="J9:K9"/>
    <mergeCell ref="J10:K10"/>
    <mergeCell ref="D14:E14"/>
    <mergeCell ref="D15:E15"/>
    <mergeCell ref="D16:E16"/>
    <mergeCell ref="D17:E17"/>
    <mergeCell ref="D18:E18"/>
    <mergeCell ref="A19:C19"/>
    <mergeCell ref="D19:E19"/>
    <mergeCell ref="D8:E8"/>
    <mergeCell ref="D9:E9"/>
    <mergeCell ref="D10:E10"/>
    <mergeCell ref="D11:E11"/>
    <mergeCell ref="D12:E12"/>
    <mergeCell ref="D13:E13"/>
    <mergeCell ref="D7:E7"/>
    <mergeCell ref="A1:E2"/>
    <mergeCell ref="D3:E3"/>
    <mergeCell ref="D4:E4"/>
    <mergeCell ref="D5:E5"/>
    <mergeCell ref="D6:E6"/>
  </mergeCells>
  <pageMargins left="0.7" right="0.7" top="0.75" bottom="0.75" header="0.3" footer="0.3"/>
  <pageSetup paperSize="9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F2D7-215A-4682-934F-0F80F70E8ED2}">
  <dimension ref="A1:T27"/>
  <sheetViews>
    <sheetView tabSelected="1" zoomScale="145" zoomScaleNormal="145" workbookViewId="0">
      <selection activeCell="B18" sqref="B6:B18"/>
    </sheetView>
  </sheetViews>
  <sheetFormatPr defaultRowHeight="14.4" x14ac:dyDescent="0.3"/>
  <cols>
    <col min="1" max="1" width="22.33203125" bestFit="1" customWidth="1"/>
    <col min="14" max="14" width="16.44140625" customWidth="1"/>
    <col min="15" max="15" width="10.109375" customWidth="1"/>
    <col min="16" max="16" width="15.44140625" customWidth="1"/>
    <col min="20" max="20" width="23.33203125" customWidth="1"/>
  </cols>
  <sheetData>
    <row r="1" spans="1:18" x14ac:dyDescent="0.3">
      <c r="A1" s="26" t="s">
        <v>69</v>
      </c>
      <c r="B1" s="26" t="s">
        <v>70</v>
      </c>
    </row>
    <row r="2" spans="1:18" x14ac:dyDescent="0.3">
      <c r="A2" s="24" t="s">
        <v>12</v>
      </c>
      <c r="B2" s="25">
        <v>34500</v>
      </c>
    </row>
    <row r="3" spans="1:18" x14ac:dyDescent="0.3">
      <c r="A3" s="24" t="s">
        <v>31</v>
      </c>
      <c r="B3" s="25">
        <v>29000</v>
      </c>
    </row>
    <row r="4" spans="1:18" x14ac:dyDescent="0.3">
      <c r="A4" s="24" t="s">
        <v>33</v>
      </c>
      <c r="B4" s="25">
        <v>29000</v>
      </c>
    </row>
    <row r="5" spans="1:18" x14ac:dyDescent="0.3">
      <c r="A5" s="24" t="s">
        <v>26</v>
      </c>
      <c r="B5" s="25">
        <v>34000</v>
      </c>
    </row>
    <row r="6" spans="1:18" x14ac:dyDescent="0.3">
      <c r="A6" s="24" t="s">
        <v>34</v>
      </c>
      <c r="B6" s="25">
        <v>24000</v>
      </c>
    </row>
    <row r="7" spans="1:18" x14ac:dyDescent="0.3">
      <c r="A7" s="24" t="s">
        <v>37</v>
      </c>
      <c r="B7" s="25">
        <v>27000</v>
      </c>
    </row>
    <row r="8" spans="1:18" x14ac:dyDescent="0.3">
      <c r="A8" s="24" t="s">
        <v>71</v>
      </c>
      <c r="B8" s="25">
        <v>34000</v>
      </c>
    </row>
    <row r="9" spans="1:18" x14ac:dyDescent="0.3">
      <c r="A9" s="24" t="s">
        <v>29</v>
      </c>
      <c r="B9" s="25">
        <v>39500</v>
      </c>
    </row>
    <row r="10" spans="1:18" x14ac:dyDescent="0.3">
      <c r="A10" s="24" t="s">
        <v>42</v>
      </c>
      <c r="B10" s="25">
        <v>22000</v>
      </c>
    </row>
    <row r="11" spans="1:18" x14ac:dyDescent="0.3">
      <c r="A11" s="24" t="s">
        <v>50</v>
      </c>
      <c r="B11" s="25">
        <v>41000</v>
      </c>
    </row>
    <row r="12" spans="1:18" x14ac:dyDescent="0.3">
      <c r="A12" s="24" t="s">
        <v>54</v>
      </c>
      <c r="B12" s="25">
        <v>30000</v>
      </c>
    </row>
    <row r="13" spans="1:18" x14ac:dyDescent="0.3">
      <c r="A13" s="24" t="s">
        <v>67</v>
      </c>
      <c r="B13" s="25">
        <v>18500</v>
      </c>
    </row>
    <row r="14" spans="1:18" x14ac:dyDescent="0.3">
      <c r="A14" s="24" t="s">
        <v>44</v>
      </c>
      <c r="B14" s="25">
        <v>17500</v>
      </c>
    </row>
    <row r="15" spans="1:18" x14ac:dyDescent="0.3">
      <c r="A15" s="24" t="s">
        <v>46</v>
      </c>
      <c r="B15" s="25">
        <v>30000</v>
      </c>
      <c r="N15" s="5"/>
      <c r="O15" s="5"/>
      <c r="P15" s="5"/>
      <c r="Q15" s="5"/>
      <c r="R15" s="5"/>
    </row>
    <row r="16" spans="1:18" x14ac:dyDescent="0.3">
      <c r="A16" s="24" t="s">
        <v>68</v>
      </c>
      <c r="B16" s="25">
        <v>25000</v>
      </c>
      <c r="N16" s="5"/>
      <c r="O16" s="5"/>
      <c r="P16" s="5"/>
      <c r="Q16" s="5"/>
      <c r="R16" s="5"/>
    </row>
    <row r="17" spans="1:20" x14ac:dyDescent="0.3">
      <c r="A17" s="24" t="s">
        <v>64</v>
      </c>
      <c r="B17" s="25">
        <v>35000</v>
      </c>
      <c r="N17" s="5"/>
      <c r="O17" s="5"/>
      <c r="P17" s="5"/>
      <c r="Q17" s="5"/>
      <c r="R17" s="5"/>
    </row>
    <row r="18" spans="1:20" x14ac:dyDescent="0.3">
      <c r="A18" s="24" t="s">
        <v>61</v>
      </c>
      <c r="B18" s="25">
        <v>29000</v>
      </c>
      <c r="N18" s="5"/>
      <c r="O18" s="5"/>
      <c r="P18" s="5"/>
      <c r="Q18" s="5"/>
      <c r="R18" s="5"/>
    </row>
    <row r="19" spans="1:20" x14ac:dyDescent="0.3">
      <c r="N19" s="5"/>
      <c r="O19" s="5"/>
      <c r="P19" s="5"/>
      <c r="Q19" s="5"/>
      <c r="R19" s="5"/>
    </row>
    <row r="20" spans="1:20" x14ac:dyDescent="0.3">
      <c r="N20" s="5"/>
      <c r="O20" s="5"/>
      <c r="P20" s="5"/>
      <c r="Q20" s="5"/>
      <c r="R20" s="5"/>
      <c r="T20" s="4"/>
    </row>
    <row r="21" spans="1:20" x14ac:dyDescent="0.3">
      <c r="N21" s="5"/>
      <c r="O21" s="5"/>
      <c r="P21" s="5"/>
      <c r="Q21" s="5"/>
      <c r="R21" s="5"/>
      <c r="T21" s="4"/>
    </row>
    <row r="22" spans="1:20" x14ac:dyDescent="0.3">
      <c r="N22" s="5"/>
      <c r="O22" s="5"/>
      <c r="P22" s="5"/>
      <c r="Q22" s="5"/>
      <c r="R22" s="5"/>
    </row>
    <row r="23" spans="1:20" x14ac:dyDescent="0.3">
      <c r="N23" s="5"/>
      <c r="O23" s="5"/>
      <c r="P23" s="5"/>
      <c r="Q23" s="5"/>
      <c r="R23" s="5"/>
    </row>
    <row r="24" spans="1:20" x14ac:dyDescent="0.3">
      <c r="N24" s="5"/>
      <c r="O24" s="5"/>
      <c r="P24" s="5"/>
      <c r="Q24" s="5"/>
      <c r="R24" s="5"/>
    </row>
    <row r="25" spans="1:20" x14ac:dyDescent="0.3">
      <c r="N25" s="5"/>
      <c r="O25" s="5"/>
      <c r="P25" s="5"/>
      <c r="Q25" s="5"/>
      <c r="R25" s="5"/>
      <c r="T25" s="5"/>
    </row>
    <row r="26" spans="1:20" x14ac:dyDescent="0.3">
      <c r="N26" s="5"/>
      <c r="O26" s="5"/>
      <c r="P26" s="5"/>
      <c r="Q26" s="5"/>
      <c r="R26" s="5"/>
    </row>
    <row r="27" spans="1:20" x14ac:dyDescent="0.3">
      <c r="N27" s="5"/>
      <c r="O27" s="5"/>
      <c r="P27" s="5"/>
      <c r="Q27" s="5"/>
      <c r="R2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Лист3</vt:lpstr>
      <vt:lpstr>Лист1</vt:lpstr>
      <vt:lpstr>Лист2</vt:lpstr>
      <vt:lpstr>Лист3!Область_печати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BSMILLAH</dc:creator>
  <cp:lastModifiedBy>BSMILLAH</cp:lastModifiedBy>
  <cp:lastPrinted>2026-03-07T11:12:11Z</cp:lastPrinted>
  <dcterms:created xsi:type="dcterms:W3CDTF">2025-08-29T05:11:22Z</dcterms:created>
  <dcterms:modified xsi:type="dcterms:W3CDTF">2026-06-08T09:25:35Z</dcterms:modified>
</cp:coreProperties>
</file>